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REINILDO\Desktop\PROJETOS\RESSUPRIMENTO ESTOQUE TOTAL\"/>
    </mc:Choice>
  </mc:AlternateContent>
  <xr:revisionPtr revIDLastSave="0" documentId="13_ncr:1_{F008C8C4-47BA-4905-B889-A16D91470B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UPRA" sheetId="3" r:id="rId1"/>
    <sheet name="dados" sheetId="4" r:id="rId2"/>
  </sheets>
  <definedNames>
    <definedName name="DadosExternos_2" localSheetId="0" hidden="1">SUPRA!$A$1:$S$334</definedName>
  </definedNames>
  <calcPr calcId="191029" calcMode="manual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EBRA MES_4fe1933b-cfa7-40d0-9f66-8a3fef58f6f0" name="QUEBRA MES" connection="Consulta - QUEBRA M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2" i="4" l="1"/>
  <c r="C11" i="4"/>
  <c r="C10" i="4"/>
  <c r="A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118F14-744E-4AD9-8BE5-FCAF77D30FF0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D3AB0A6C-D7EA-4F87-AE17-8ADD61AA011A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3" xr16:uid="{368876FC-8079-4E38-BA26-86A2A6D5175A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4" xr16:uid="{C511AB13-D1AE-46F5-A5B0-8DEC153A7F23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5" xr16:uid="{D1AC4794-3DCD-4C35-ACF2-607164F7B905}" name="Consulta - QUEBRA MES" description="Conexão com a consulta 'QUEBRA MES' na pasta de trabalho." type="100" refreshedVersion="8" minRefreshableVersion="5">
    <extLst>
      <ext xmlns:x15="http://schemas.microsoft.com/office/spreadsheetml/2010/11/main" uri="{DE250136-89BD-433C-8126-D09CA5730AF9}">
        <x15:connection id="8dd0bea2-10f6-48e1-847f-920028e7b6e6">
          <x15:oledbPr connection="Provider=Microsoft.Mashup.OleDb.1;Data Source=$Workbook$;Location=&quot;QUEBRA MES&quot;;Extended Properties=&quot;&quot;">
            <x15:dbTables>
              <x15:dbTable name="QUEBRA MES"/>
            </x15:dbTables>
          </x15:oledbPr>
        </x15:connection>
      </ext>
    </extLst>
  </connection>
  <connection id="6" xr16:uid="{073DCFA5-7A7F-4D0B-8D53-2E7E9386808F}" keepAlive="1" name="Consulta - SUPRA" description="Conexão com a consulta 'SUPRA' na pasta de trabalho." type="5" refreshedVersion="8" background="1" saveData="1">
    <dbPr connection="Provider=Microsoft.Mashup.OleDb.1;Data Source=$Workbook$;Location=SUPRA;Extended Properties=&quot;&quot;" command="SELECT * FROM [SUPRA]"/>
  </connection>
  <connection id="7" xr16:uid="{81212165-4CB8-46FB-BEF4-88E6909294D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8" xr16:uid="{5E7B386A-B4EE-4E9D-BA02-6B164F315966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9" xr16:uid="{BD563E74-A0B1-4B0A-ACE9-6E0A788B4C36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0" xr16:uid="{AAC7A43F-E2E1-4517-861F-5A9855F0CA77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11" xr16:uid="{BF382BD0-649F-411E-ABF9-864447DFCB23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<sst xmlns="http://schemas.openxmlformats.org/spreadsheetml/2006/main" count="1863" uniqueCount="706">
  <si>
    <t>COD</t>
  </si>
  <si>
    <t>DESCRIÇÃO</t>
  </si>
  <si>
    <t>ESTOQUE</t>
  </si>
  <si>
    <t>GERAL</t>
  </si>
  <si>
    <t>FARMÁCIA (OU QUARENTENA)</t>
  </si>
  <si>
    <t>CMM</t>
  </si>
  <si>
    <t>VALOR MÉDIO</t>
  </si>
  <si>
    <t>VALOR ULTIMA ENTRADA</t>
  </si>
  <si>
    <t>ENTRADA</t>
  </si>
  <si>
    <t>CAT  BALAO CORONARIO NC  5,5 X 20</t>
  </si>
  <si>
    <t>CAT DUPLO (PERMICATH) 14,5FR X 27</t>
  </si>
  <si>
    <t>CATETER APLICADOR 2,6 MM (HEMOCLIP)</t>
  </si>
  <si>
    <t>PÁ P/ CARDIOVESOR PEDIATRICO LIFEMED</t>
  </si>
  <si>
    <t>ENXERTO VASC PTFE RETO 8MM X 70CM</t>
  </si>
  <si>
    <t>CEC INFANTIL 1.500</t>
  </si>
  <si>
    <t>CAT GUIA AL1 7FR</t>
  </si>
  <si>
    <t>CAT BALAO PERIFERICO 9 X 20 X 130</t>
  </si>
  <si>
    <t>PINÇA CIRURGICA ULTRASSONICA 9F</t>
  </si>
  <si>
    <t>CAT DIAGNOSTICO AL3 5FR 100CM</t>
  </si>
  <si>
    <t>PÁ P/ CARDIOVERSOR PEDIAT ZOLL</t>
  </si>
  <si>
    <t>CAT BALAO CORONARIO NC  6,0 X 20</t>
  </si>
  <si>
    <t>GRAMPEADOR CIRCULAR 25 MM</t>
  </si>
  <si>
    <t>GRAMPEADOR CURVO CORTANTE 40MM</t>
  </si>
  <si>
    <t>CANULA VENOSA 36/51FR D.E</t>
  </si>
  <si>
    <t>CAT BALAO CORONARIO 1,20 X 6</t>
  </si>
  <si>
    <t>CANULA VENOSA 34FR U.E PT 90°</t>
  </si>
  <si>
    <t>PINÇA CIRURGICA ENDOSCÓPICA 5MM X 36CM</t>
  </si>
  <si>
    <t>CATETER  ENDOSCOPICO INJETOR 2,3 MM</t>
  </si>
  <si>
    <t>ENXERTO VASC PTFE RETO 3MM X 10CM</t>
  </si>
  <si>
    <t>CAT DIAGNOSTICO AR3 5F 100CM</t>
  </si>
  <si>
    <t>CATETER DUPLO LUMEN (PERMCATH) 12,5 x 28</t>
  </si>
  <si>
    <t>KIT INTRO. DE INSERC.PERCU.PIK150</t>
  </si>
  <si>
    <t>CAT BALAO PERIFERICO 5,5 X 100 X 150</t>
  </si>
  <si>
    <t>CAT BALAO CORONARIO NC 5,5 X 12</t>
  </si>
  <si>
    <t>CAT BALAO PERIFERICO 2,5 X 220 X 150</t>
  </si>
  <si>
    <t>CATETER APLICADOR 2,8 MM (HEMOCLIP)</t>
  </si>
  <si>
    <t>STENT PERIFERICO 7 X 18 X 142 PALMAZ BLU</t>
  </si>
  <si>
    <t>VALVULA AORTICA 21,5 TAVI</t>
  </si>
  <si>
    <t>PATCH INORGANICO DE FELTRO 1MM 15X15CM</t>
  </si>
  <si>
    <t>ENXERTO VASC PTFE RETO  5MM X 10 CM</t>
  </si>
  <si>
    <t>FIO GUIA  ASTATO XS 20  014MM X 300CM</t>
  </si>
  <si>
    <t>CANULA VENOSA 32/40 D.E RETA</t>
  </si>
  <si>
    <t>CANULA VENOSA 22FR U.E. PT 90º</t>
  </si>
  <si>
    <t>CAT URETRAL DUPLO J 6 X 24 6FR</t>
  </si>
  <si>
    <t>CATETER BALAO PERIFERICO 3 X 60 X 150</t>
  </si>
  <si>
    <t>CATETER DUP LUMEN HEMO 14F x 20cm</t>
  </si>
  <si>
    <t>ENXERTO VASC DACRON BIFURC 10 X 20</t>
  </si>
  <si>
    <t>STENT CAROTIDA 10 X 60 X 135</t>
  </si>
  <si>
    <t>CAT BALAO PERIFERICO 3,5 X 40 X 150</t>
  </si>
  <si>
    <t>GRAMPEADOR CIRCULAR 33MM</t>
  </si>
  <si>
    <t>GRAMPEADOR LINEAR 60 MM</t>
  </si>
  <si>
    <t>CEC REVESTIDO INFANTIL/PEDIATRICO 5S</t>
  </si>
  <si>
    <t>ENXERTO DACRON RETO 20mm x30cm</t>
  </si>
  <si>
    <t>CEC INFANTIL 050</t>
  </si>
  <si>
    <t>CEC PEDIATRICO COM REDUCAO</t>
  </si>
  <si>
    <t>CAT URETERAL DUPLO J 6FR x 26cm</t>
  </si>
  <si>
    <t>BOLSA DRENAGEM P/ HEMODIALISE 5L</t>
  </si>
  <si>
    <t>CAT URETERAL DUPLO J 6FR x 28CM</t>
  </si>
  <si>
    <t>ENXERTO VASC PTFE ANELADO 7MM X 50CM</t>
  </si>
  <si>
    <t>CONJ GASTROSTOMIA PERC. ENDOSC. 22FR</t>
  </si>
  <si>
    <t>KIT NEFROSTOMIA 8.5 FR</t>
  </si>
  <si>
    <t>STENT FARMACOLOGICO 4,5 X 32</t>
  </si>
  <si>
    <t>FIO GUIA FLOPPY LS 0,014 X 182 PT J</t>
  </si>
  <si>
    <t>ENXERTO VASC PTFE RETO 5MM X 40CM</t>
  </si>
  <si>
    <t>CAT PERIFERICO DUP LUMEN (PICC) 5FR</t>
  </si>
  <si>
    <t>ENXERTO VASC DACRON RETO 6 X 70CM</t>
  </si>
  <si>
    <t>CANULA VENOSA 12FR U. E. PT RETA</t>
  </si>
  <si>
    <t>CATETER BALAO PERIFERICO 2,5 X 60 X 150</t>
  </si>
  <si>
    <t>SISTEMA DRENAGEM 36-2000</t>
  </si>
  <si>
    <t>CAT DIAGNOSTICO IM 6F</t>
  </si>
  <si>
    <t>FIO GUIA HIDROFILICO 035X260 ARES</t>
  </si>
  <si>
    <t>ENXERTO VASC PTFE RETO 4MM x 10CM</t>
  </si>
  <si>
    <t>KIT CANULA CARDIOPLEGIA OSTIO 17FR</t>
  </si>
  <si>
    <t>CAT DIAGNOSTICO AR1 6F 100CM</t>
  </si>
  <si>
    <t>ENXERTO VASC PTFE RETO 19MM x 35CM</t>
  </si>
  <si>
    <t>PÁ P/ CARDIOVESOR ADULTO LIFEMED</t>
  </si>
  <si>
    <t>CATETER GUIA EBU 3,0 6F</t>
  </si>
  <si>
    <t>ENXERTO VASC DACRON BIFURC 9 X 18</t>
  </si>
  <si>
    <t>INTRODUTOR VALV FEMORAL 11FR 10CM C/AG</t>
  </si>
  <si>
    <t>CONJ BALAO INTRA-AORTICO 7,5FR 40CC</t>
  </si>
  <si>
    <t>STENT PERIFERICO 4,5 X 120 X 120</t>
  </si>
  <si>
    <t>INTRODUTOR P/ ELETRODO 10FR</t>
  </si>
  <si>
    <t>CAT GUIA MP1 7FR</t>
  </si>
  <si>
    <t>CAT BALAO CORONARIO NC  1,5 X 6</t>
  </si>
  <si>
    <t>ENXERTO VASC DACRON BIFURC 7 X 14</t>
  </si>
  <si>
    <t>KIT CISTOSTOMIA 12F</t>
  </si>
  <si>
    <t>CAT DIAGNOSTICO AL1 6F X 100CM</t>
  </si>
  <si>
    <t>CAT PERIFERICO MONO LUMEN (PICC) 4FR</t>
  </si>
  <si>
    <t>CANULA CARDIOPLEGIA RETROGRADA 15FR</t>
  </si>
  <si>
    <t>CAT BALAO CORONARIO NC 6,0X15</t>
  </si>
  <si>
    <t>FIO GUIA 0,014 X 180 HYPERCOAT</t>
  </si>
  <si>
    <t>CEC INFANTIL D100</t>
  </si>
  <si>
    <t>CAT BALAO CORONARIO NC 5,5 X 15</t>
  </si>
  <si>
    <t>CANULA ARTERIAL 24FR PT CURVA 80°</t>
  </si>
  <si>
    <t>ENXERTO DACRON RETO 18mm x30cm</t>
  </si>
  <si>
    <t>CONJ GASTROSTOMIA PERC. ENDOSC. 24FR</t>
  </si>
  <si>
    <t>CAT BALAO CORONARIO NC  6,0 X 12</t>
  </si>
  <si>
    <t>ENXERTO VASC DACRON RETO 10 X 30CM</t>
  </si>
  <si>
    <t>CAT GUIA AL2 7F</t>
  </si>
  <si>
    <t>FIO GUIA PROGRESS-40 0,014 X 190</t>
  </si>
  <si>
    <t>KIT CVVHDF 1000</t>
  </si>
  <si>
    <t>CAT DIAGNOSTICO JR 3,5 6FR</t>
  </si>
  <si>
    <t>CEC INFANTIL D101</t>
  </si>
  <si>
    <t>CANULA VENOSA 31FR U.E PT MET 90º</t>
  </si>
  <si>
    <t>ENXERTO VASC DACRON RETO 24 X 30CM</t>
  </si>
  <si>
    <t>CAT DIAGNOSTICO SIMMONS 1 5FR</t>
  </si>
  <si>
    <t>CANULA VENOSA 36/46FR D.E</t>
  </si>
  <si>
    <t>RESERVATORIO CANISTER P/ MAQUINA CEC S5</t>
  </si>
  <si>
    <t>PÁ P/ CARDIOVERSOR ADULTO ZOLL</t>
  </si>
  <si>
    <t>CAT PERIFERICO MONO LUMEN (PICC) 3FR</t>
  </si>
  <si>
    <t>CANULA ARTERIAL 18FR PT CURVA 45°</t>
  </si>
  <si>
    <t>CAT PERIFERICO DUP LUMEN (PICC) 4FR</t>
  </si>
  <si>
    <t>TELA DUPLA FACE 30 x 30 cm  BARD</t>
  </si>
  <si>
    <t>ENXERTO VASC PTFE RETO 7 MMX 50CM</t>
  </si>
  <si>
    <t>CAT P/ DIALISE PERIT (TENCKHOFF) 62,5CM</t>
  </si>
  <si>
    <t>PÁ P/ DESFIBRILADOR PEDIATRICA (MINDRA</t>
  </si>
  <si>
    <t>CAT GUIA MP2 7FR</t>
  </si>
  <si>
    <t>CATETER DIRIGIVEL 7FR ABLAÇAO</t>
  </si>
  <si>
    <t>EQUIPO COOL POINT ABLAÇAO</t>
  </si>
  <si>
    <t>CONJ P/ DRENAGEM NEFROSTOMIA 12</t>
  </si>
  <si>
    <t>CANULA VENOSA 36/46/PT TRI.ESTAGIO</t>
  </si>
  <si>
    <t>CAT P/ DIALISE PERIT (TENCKHOFF) 37CM</t>
  </si>
  <si>
    <t>FIO GUIA 0,035 x 300 RETA SUPRA CORE</t>
  </si>
  <si>
    <t>STENT PERIFERICO 4,5 X 100 X 120</t>
  </si>
  <si>
    <t>CAT BALAO PERIFERICO 8 X 20 X 130</t>
  </si>
  <si>
    <t>KIT PRISMA M100</t>
  </si>
  <si>
    <t>CONJ BALAO INTRA-AORTICO 7,5FR 34CC</t>
  </si>
  <si>
    <t>CAT GUIA MP2 6FR</t>
  </si>
  <si>
    <t>CANULA VENOSA 32FR U.E PT RETA</t>
  </si>
  <si>
    <t>ENXERTO VASC PTFE RETO 5 X 70CM</t>
  </si>
  <si>
    <t>CAT DIAGNOSTICO SIMMON 3 5FR 80CM</t>
  </si>
  <si>
    <t>AGULHA PUNÇÃO TRANSEPTAL</t>
  </si>
  <si>
    <t>CAT DIAGNOSTICO JL 4,5 5FR</t>
  </si>
  <si>
    <t>CANULA ARTERIAL 24FR 3/8</t>
  </si>
  <si>
    <t>GRAMPEADOR CIRCULAR 21MM</t>
  </si>
  <si>
    <t>STENT FARMACOLOGICO 2,0 X 44</t>
  </si>
  <si>
    <t>PINÇA CIRURGICA ENDOSCÓPICA 5MM X 17CM</t>
  </si>
  <si>
    <t>CAT DUPLO (PERMICATH) 10F X 24CM</t>
  </si>
  <si>
    <t>CAT GUIA RCB 6FR</t>
  </si>
  <si>
    <t>KIT PRISMA HF20</t>
  </si>
  <si>
    <t>FIO GUIA PROGRESS - 80 0,014 X 190</t>
  </si>
  <si>
    <t>FIO GUIA 0,035 X 150 PTFE PONTA RETA</t>
  </si>
  <si>
    <t>CARGA GRAMPEADOR LINEAR 100</t>
  </si>
  <si>
    <t>CAT BALAO PERIFERICO 4 X 80 X 150</t>
  </si>
  <si>
    <t>GRAMPEADOR LINEAR 100</t>
  </si>
  <si>
    <t>CAT GUIA LCB 6FR 100CM</t>
  </si>
  <si>
    <t>ENXERTO VASC DACRON RETO 30 X 30CM</t>
  </si>
  <si>
    <t>CAT PERIFERICO DUP LUMEN (PICC) 6FR</t>
  </si>
  <si>
    <t>CANULA ARTERIAL 21FR 3/8</t>
  </si>
  <si>
    <t>CONJ P/ DRENAGEM NEFROSTOMIA 14</t>
  </si>
  <si>
    <t>CAT PERIFERICO MONO LUMEN (PICC) 5FR</t>
  </si>
  <si>
    <t>CAT BALAO PERIFERICO 2,5 X 100 X 150</t>
  </si>
  <si>
    <t>CEC NEONATO 0800</t>
  </si>
  <si>
    <t>CAT BALAO PERIFERICO 3.0 X 80 X 150</t>
  </si>
  <si>
    <t>CAT BALAO PERIFERICO 7 X 80 X 75</t>
  </si>
  <si>
    <t>FIO GUIA 0,035 X 260CM - DUPLA CURVA</t>
  </si>
  <si>
    <t>CONECTOR DE SATURACAO ARTERIAL 3/8</t>
  </si>
  <si>
    <t>KIT CVVHD EMIC</t>
  </si>
  <si>
    <t>SERINGA P/ BOMBA INJETORA 150ML</t>
  </si>
  <si>
    <t>SENSOR DE NIVEL CEC</t>
  </si>
  <si>
    <t>FIO GUIA HIDROFILICO 035X260 ROADRUNNER</t>
  </si>
  <si>
    <t>FIO GUIA 0,035X260 ROSEN</t>
  </si>
  <si>
    <t>BOMBA CENTRIFUGA SAFIRA</t>
  </si>
  <si>
    <t>INTRODUTOR VALV RADIAL 5FR 11CM C/AG</t>
  </si>
  <si>
    <t>ENXERTO VASC PTFE RETO 3,5MM X 10CM</t>
  </si>
  <si>
    <t>BAINHA INTRODUTORA 9FR 45/80 CIA</t>
  </si>
  <si>
    <t>PATCH PERICARDIO BOVINO 6 X 11CM</t>
  </si>
  <si>
    <t>CAT VEN CENTRAL DUP LUMEN 7 X 20CM</t>
  </si>
  <si>
    <t>CONJ P/AUTO TRANSFUSAO</t>
  </si>
  <si>
    <t>FIO GUIA 0,035 X 150/180 HIDROFILICO</t>
  </si>
  <si>
    <t>CANULA VENOSA TRIPLO E. 28/36 FR</t>
  </si>
  <si>
    <t>CAT DIAGNOSTICO JL 3,5 5F 100CM</t>
  </si>
  <si>
    <t>CAT DIAGNOSTICO VERTEBRAL 5FR</t>
  </si>
  <si>
    <t>KIT CAT ARTERIAL RADIAL 20G</t>
  </si>
  <si>
    <t>MANIFOLD - 3 VALVULAS C / 5 VIAS</t>
  </si>
  <si>
    <t>CAT P/ EMBOLECTOMIA (FOGARTY) 4FR</t>
  </si>
  <si>
    <t>ENXERTO VASC DACRON RETO 8 X 60CM</t>
  </si>
  <si>
    <t>CEC ADULTO CRISTALOIDE CONVENCIONAL</t>
  </si>
  <si>
    <t>CAT DIAGNOSTICO JR 4 5F 100CM</t>
  </si>
  <si>
    <t>TELA POLIPROPILENO 15 X 15</t>
  </si>
  <si>
    <t>FIO GUIA 0,035X260 AMPLATZ</t>
  </si>
  <si>
    <t>FIO GUIA 0,014 X 190 HIDROFILICO ES</t>
  </si>
  <si>
    <t>CAT GUIA AL1 6FR</t>
  </si>
  <si>
    <t>INSUFLADOR P/ CATETER BALAO</t>
  </si>
  <si>
    <t>PÁ P/ CARDIOVERSOR INFANTIL (INSTRAMED)</t>
  </si>
  <si>
    <t>CEC ADULTO CRISTALOIDE MODELO S5</t>
  </si>
  <si>
    <t>INTRODUTOR VALV FEMORAL 5FR 11CM C/AG</t>
  </si>
  <si>
    <t>CANULA VENOSA 28FR U.E PT 90°</t>
  </si>
  <si>
    <t>INTRODUTOR VALV RADIAL 6FR 11CM C/AG</t>
  </si>
  <si>
    <t>CANULA VENOSA 16FR PT RETA</t>
  </si>
  <si>
    <t>CANULA ARTERIAL 22FR PT CURVA 80º</t>
  </si>
  <si>
    <t>CATETER DUPLO J 6F 26CM - LONGA PERM</t>
  </si>
  <si>
    <t>CANULA ARTERIAL 20FR PT CURVA 80°</t>
  </si>
  <si>
    <t>CAT P/ EMBOLECTOMIA (FOGARTY) 3FR</t>
  </si>
  <si>
    <t>CAT DIAGNOSTICO IMA 5F 100CM</t>
  </si>
  <si>
    <t>ENXERTO VASC DACRON RETO 10 X 60CM</t>
  </si>
  <si>
    <t>CAT BALAO CORONARIO 3,25 X 08</t>
  </si>
  <si>
    <t>FIO GUIA HT PILOT 200  0,014 X 190</t>
  </si>
  <si>
    <t>CANULA VENOSA 14FR U.E PT MET 90º</t>
  </si>
  <si>
    <t>CANULA VENOSA 29FR T.ESTAGIO 3/8</t>
  </si>
  <si>
    <t>KIT CAT ARTERIAL RADIAL 22G</t>
  </si>
  <si>
    <t>KIT PRISMA M60</t>
  </si>
  <si>
    <t>PÁ P/ DESFIBRILADOR PEDIATRICA (NIH.KOHD</t>
  </si>
  <si>
    <t>CAT GUIA IMA 6FR 100CM</t>
  </si>
  <si>
    <t>CANULA VENOSA 14FR U.E PT RETA</t>
  </si>
  <si>
    <t>CANULA VENOSA 12FR U.E PT 90º</t>
  </si>
  <si>
    <t>ELETRODO ENDOCARDIO TEMPORARIO 5FR</t>
  </si>
  <si>
    <t>FIO GUIA HT PILOT 50  0,014 X 190</t>
  </si>
  <si>
    <t>CANULA VENOSA 32/40FR D. E. OVAL</t>
  </si>
  <si>
    <t>PINÇA P/ BIOPSIA - BIOTOMO</t>
  </si>
  <si>
    <t>CONECTOR DE SATURACAO VENOSA 3/8</t>
  </si>
  <si>
    <t>GRAMPEADOR LINEAR 75MM</t>
  </si>
  <si>
    <t>CANULA VENOSA 14FR U. E. PT 90°</t>
  </si>
  <si>
    <t>CANULA ARTERIAL 16FR PT RETA ALONG</t>
  </si>
  <si>
    <t>FIO GUIA 0,014 X 182 HIDROFILICO MS</t>
  </si>
  <si>
    <t>CAT GUIA EBU 3,5 7FR</t>
  </si>
  <si>
    <t>PÁ P/ CARDIOVERSOR ADULTO (INSTRAMED)</t>
  </si>
  <si>
    <t>TRANSDUTOR DE PRESSÃO</t>
  </si>
  <si>
    <t>AGULHA NEURO ESTIMULADORA 50</t>
  </si>
  <si>
    <t>CAT GUIA JR 3,5 6FR</t>
  </si>
  <si>
    <t>CANULA ARTERIAL 12FR PT RETA ALONG</t>
  </si>
  <si>
    <t>PÁ P/ DESFIBRILADOR ADULTO MINDRAY</t>
  </si>
  <si>
    <t>CAT DIAGNOSTICO PIGTAIL 5F 110CM</t>
  </si>
  <si>
    <t>FIO MARCAPASSO 2-0 2x60cm (1/2) 26mm</t>
  </si>
  <si>
    <t>CAT GUIA EBU 3,5 6F</t>
  </si>
  <si>
    <t>FIO GUIA 0,035x150/180 PTFE</t>
  </si>
  <si>
    <t>INTRODUTOR VALV FEMORAL 7FR 11CM</t>
  </si>
  <si>
    <t>SENSOR OXIMETRIA CEREBRAL (NEONATAL)</t>
  </si>
  <si>
    <t>CAT URETERAL DUPLO J 4,7FR 26CM</t>
  </si>
  <si>
    <t>FIO GUIA 0,014 X 190 HIDROFILICO BMW</t>
  </si>
  <si>
    <t>CAT DUPLO LUMEN P/HEMOD 12FR X 20CM</t>
  </si>
  <si>
    <t>CAT GUIA EBU 4 6F</t>
  </si>
  <si>
    <t>CAT VEN CENTRAL DUP LUMEN 4 X 13/15CM</t>
  </si>
  <si>
    <t>CANULA VENOSA 16FR U.E PT MET 90º</t>
  </si>
  <si>
    <t>INTRODUTOR VALV FEMORAL 8FR 11CM</t>
  </si>
  <si>
    <t>CANULA ARTERIAL 10FR PT RETA ALONG</t>
  </si>
  <si>
    <t>FIO GUIA 0,014 X 300 HIDROFILICO</t>
  </si>
  <si>
    <t>SENSOR OXIMETRIA CEREBRAL (ADULTO)</t>
  </si>
  <si>
    <t>CAT DIAGNOSTICO AR2 5FR 100CM</t>
  </si>
  <si>
    <t>CAT DIAGNOSTICO AL1 5 FR 100CM</t>
  </si>
  <si>
    <t>CAT VEN CENTRAL DUP LUMEN 5 X 13/15CM</t>
  </si>
  <si>
    <t>CANULA ARTERIAL 8FR PT RETA ALONG</t>
  </si>
  <si>
    <t>ENXERTO VASC PTFE RETO 18MM X 20CM</t>
  </si>
  <si>
    <t>ENXERTO  DACRON RETO 8 X 30 F.WEAVE</t>
  </si>
  <si>
    <t>FIO GUIA 0,018 X 300 HIDROFILICO</t>
  </si>
  <si>
    <t>ENXERTO VASC DACRON BIFURC 8 X 16</t>
  </si>
  <si>
    <t>ENXERTO VASC DACRON RETO 28 X 30CM</t>
  </si>
  <si>
    <t>CAT DIAGNOSTICO MP 5FR</t>
  </si>
  <si>
    <t>KIT CAT ARTERIAL RADIAL 24G</t>
  </si>
  <si>
    <t>CANULA ARTERIAL 18FR RETA ALONG</t>
  </si>
  <si>
    <t>CAT GUIA AR2 6FR</t>
  </si>
  <si>
    <t>KIT CAT ARTERIAL FEMORAL 18Gx12CM</t>
  </si>
  <si>
    <t>CAT P/ EMBOLECTOMIA (FOGARTY) 5FR</t>
  </si>
  <si>
    <t>CAT DUPLO LUMEN P/HEMOD 8,5 FR X 13</t>
  </si>
  <si>
    <t>CANULA VENOSA 20FR U.E. PT 90°</t>
  </si>
  <si>
    <t>KIT PRISMA TPE 2000</t>
  </si>
  <si>
    <t>FIO GUIA 0,035 X 260 HIDROFILICO</t>
  </si>
  <si>
    <t>ENXERTO VASC DACRON RETO 32 X 30CM</t>
  </si>
  <si>
    <t>CAT DIAGNOSTICO AR1 5FR 100CM</t>
  </si>
  <si>
    <t>TELA POLIPROPILENO 30 X 30</t>
  </si>
  <si>
    <t>AGULHA NEURO ESTIMULADORA 100</t>
  </si>
  <si>
    <t>CAT GUIA JL 3,5 6FR 100CM</t>
  </si>
  <si>
    <t>TUBO EXTENSOR ALTA PRESSAO 1200/76CM</t>
  </si>
  <si>
    <t>FIO GUIA 0,014 X 180 / 190 FLOPPY LS</t>
  </si>
  <si>
    <t>CAT DUPLO (PERMICATH) 14,5FR X 35</t>
  </si>
  <si>
    <t>ENXERTO VASC DACRON RETO 22 X 30CM</t>
  </si>
  <si>
    <t>CANULA VENOSA 18FR PT RETA</t>
  </si>
  <si>
    <t>CANULA ARTERIAL 14FR PT RETA ALONG</t>
  </si>
  <si>
    <t>CEC INFANTIL/PEDIATRICO 5S</t>
  </si>
  <si>
    <t>CAT TRIPLO LUMEN P/HEMOD 12FR X 20CM</t>
  </si>
  <si>
    <t>CAT DIAGNOSTICO COBRA 2 5FR</t>
  </si>
  <si>
    <t>INTRODUTOR P/ ELETRODO 9FR</t>
  </si>
  <si>
    <t>INTRODUTOR VALV FEMORAL 9FR 10CM</t>
  </si>
  <si>
    <t>TROCATER 5/12mm</t>
  </si>
  <si>
    <t>SISTEMA DE VOLUME VIEW 5F</t>
  </si>
  <si>
    <t>ENXERTO VASC PTFE RETO 20MM X 20CM</t>
  </si>
  <si>
    <t>INTRODUTOR VALV FEMORAL 6FR 11CM</t>
  </si>
  <si>
    <t>CAT DIAGNOSTICO JL 4 5FR 100CM</t>
  </si>
  <si>
    <t>CEC NEO/INFANTIL S5</t>
  </si>
  <si>
    <t>CAT DUPLO (PERMICATH) 14,5FR X 55</t>
  </si>
  <si>
    <t>CONECTOR DE SATURACAO ARTERIAL 1/4</t>
  </si>
  <si>
    <t>CAT P/ DIALISE PERIT (TENCKHOFF) 42CM</t>
  </si>
  <si>
    <t>CANULA ARTERIAL 24FR PT/CURVA 45º</t>
  </si>
  <si>
    <t>CAT P/ DIALISE PERIT (TENCKHOFF) 31CM</t>
  </si>
  <si>
    <t>CAT DUPLO (PERMICATH) 14,5FR X 31</t>
  </si>
  <si>
    <t>CAT VEN TRIPLO LUMEN 7FR C/ANTB</t>
  </si>
  <si>
    <t>INTRODUTOR PERCUTANEO 8,5FR P/SWAN GANZ</t>
  </si>
  <si>
    <t>ENXERTO VASC DACRON RETO 26 X 30CM</t>
  </si>
  <si>
    <t>CONJ P/ DRENAGEM NEFROSTOMIA 10</t>
  </si>
  <si>
    <t>CAT VEN CENTRAL DUP LUM 7F X 20CM C/ANTB</t>
  </si>
  <si>
    <t>FIO GUIA HIDROF. 0,035 X 150 PT RETA</t>
  </si>
  <si>
    <t>CANULA VENOSA 18FR PT MET 90°</t>
  </si>
  <si>
    <t>CANULA VENOSA 18FR U.E PT 90º</t>
  </si>
  <si>
    <t>CONECTOR DE SATURACAO VENOSA 1/2</t>
  </si>
  <si>
    <t>CAT P/ EMBOLECTOMIA (FOGARTY) 6FR</t>
  </si>
  <si>
    <t>PÁ P/ CARDIOVERSOR ADULTO (NIH.KOHDEN)</t>
  </si>
  <si>
    <t>CANULA VENOSA 24FR U.E PT RETA</t>
  </si>
  <si>
    <t>CAT SWAN GANZ 7,5F - DEB CONTINUO</t>
  </si>
  <si>
    <t>INTRODUTOR VALV FEMORAL 10FR 11CM C/AG</t>
  </si>
  <si>
    <t>CAT DUPLO (PERMICATH) 14,5FR X 23</t>
  </si>
  <si>
    <t>CAT DUPLO LUMEN P/ HD 12FR X 15CM</t>
  </si>
  <si>
    <t>CAT DUPLO (PERMICATH) 14,5FR X 19</t>
  </si>
  <si>
    <t>CAT GUIA JR 4 6FR</t>
  </si>
  <si>
    <t>CANULA VENOSA 32FR U.E PT 90°</t>
  </si>
  <si>
    <t>CANULA ARTERIAL 6FR PT RETA ALONG</t>
  </si>
  <si>
    <t>CAT GUIA AL2 6FR</t>
  </si>
  <si>
    <t>CAT GUIA JL 4 6FR</t>
  </si>
  <si>
    <t>CANULA VENOSA 12FR U.E. PT MET 90º</t>
  </si>
  <si>
    <t>CANULA ARTERIAL 18FR PT CURVA 80°</t>
  </si>
  <si>
    <t>CAT TRIPLO LUMEN P/HEMOD 12FR X 15CM</t>
  </si>
  <si>
    <t>CAT DIAGNOSTICO JL 5 5FR 100CM</t>
  </si>
  <si>
    <t>CAT DIAGNOSTICO HEADHUNTER 1 5F 100CM</t>
  </si>
  <si>
    <t>FIO GUIA 0,035 X 260 PTFE LUNDERQUIST</t>
  </si>
  <si>
    <t>CAT VEN CENTRAL DUPLO LUMEN 3FR</t>
  </si>
  <si>
    <t>CAT P/ EMBOLECTOMIA (FOGARTY) 2FR</t>
  </si>
  <si>
    <t>SENSOR OXIMETRIA CEREBRAL (PEDIATRICO)</t>
  </si>
  <si>
    <t>DISPOSITIVO DE FIXAÇÃO PICC</t>
  </si>
  <si>
    <t>CAT GUIA AR1 6FR</t>
  </si>
  <si>
    <t>FIO GUIA PTFE 0,035 X 260 PONTA J</t>
  </si>
  <si>
    <t>CAT DIAGNOSTICO AL2 5FR 100CM</t>
  </si>
  <si>
    <t>CANULA  VENOSA 26FR PT 90º</t>
  </si>
  <si>
    <t>CANULA VENOSA 30FR U.E PT 90º</t>
  </si>
  <si>
    <t>CANULA VENOSA 20FR U.E PT MET 90º</t>
  </si>
  <si>
    <t>CANULA ARTERIAL 22FR PT CURVA 45º</t>
  </si>
  <si>
    <t>CONECTOR DE SATURACAO VENOSA 1/4</t>
  </si>
  <si>
    <t>CAT DIAGNOSTICO SIMMONS 2 5FR</t>
  </si>
  <si>
    <t>CANULA VENOSA 24FR PT MET 90º</t>
  </si>
  <si>
    <t>CAT GUIA JL 4 7FR</t>
  </si>
  <si>
    <t>CEC REVESTIDO ADULTO</t>
  </si>
  <si>
    <t>CAT DIAGNOSTICO JR 3,5 5F 100CM</t>
  </si>
  <si>
    <t>CANULA VENOSA 16FR U. E. PT 90º</t>
  </si>
  <si>
    <t>BOMBA CENTRIFUGA RECOBERTA 5S</t>
  </si>
  <si>
    <t>FIO GUIA 0,035 X 260 HIDROFILICO PT RETA</t>
  </si>
  <si>
    <t>CANULA VENOSA 28FR U.E PT MET 90°</t>
  </si>
  <si>
    <t>CAT GUIA MP1 6FR</t>
  </si>
  <si>
    <t>CANULA ARTERIAL 20FR PT/CURVA 45º</t>
  </si>
  <si>
    <t>CARGA GRAMPEADOR LINEAR 75MM</t>
  </si>
  <si>
    <t>CAT GUIA JR 3,5 7FR</t>
  </si>
  <si>
    <t>CANULA VENOSA 22FR U.E PT RETA</t>
  </si>
  <si>
    <t>CANULA VENOSA 24FR U.E PT 90º</t>
  </si>
  <si>
    <t>CANULA VENOSA 22FR U.E PT MET 90ª</t>
  </si>
  <si>
    <t>CARGA GRAMP END LINEAR 60MM - ROXO</t>
  </si>
  <si>
    <t>24269</t>
  </si>
  <si>
    <t>22677</t>
  </si>
  <si>
    <t>10957</t>
  </si>
  <si>
    <t>7450738</t>
  </si>
  <si>
    <t>22894</t>
  </si>
  <si>
    <t>22482</t>
  </si>
  <si>
    <t>22459</t>
  </si>
  <si>
    <t>8169</t>
  </si>
  <si>
    <t>7452081</t>
  </si>
  <si>
    <t>7452173</t>
  </si>
  <si>
    <t>7452083</t>
  </si>
  <si>
    <t>7452730</t>
  </si>
  <si>
    <t>7450525</t>
  </si>
  <si>
    <t>7452536</t>
  </si>
  <si>
    <t>7453009</t>
  </si>
  <si>
    <t>7452025</t>
  </si>
  <si>
    <t>1820279</t>
  </si>
  <si>
    <t>7453216</t>
  </si>
  <si>
    <t>7452156</t>
  </si>
  <si>
    <t>11433</t>
  </si>
  <si>
    <t>7450736</t>
  </si>
  <si>
    <t>9807</t>
  </si>
  <si>
    <t>7452533</t>
  </si>
  <si>
    <t>9581</t>
  </si>
  <si>
    <t>7452171</t>
  </si>
  <si>
    <t>24950</t>
  </si>
  <si>
    <t>7452534</t>
  </si>
  <si>
    <t>11425</t>
  </si>
  <si>
    <t>7451313</t>
  </si>
  <si>
    <t>9592</t>
  </si>
  <si>
    <t>7452932</t>
  </si>
  <si>
    <t>7453075</t>
  </si>
  <si>
    <t>7452281</t>
  </si>
  <si>
    <t>7452408</t>
  </si>
  <si>
    <t>7451314</t>
  </si>
  <si>
    <t>11643</t>
  </si>
  <si>
    <t>8472</t>
  </si>
  <si>
    <t>7452404</t>
  </si>
  <si>
    <t>11644</t>
  </si>
  <si>
    <t>11894</t>
  </si>
  <si>
    <t>11429</t>
  </si>
  <si>
    <t>9652</t>
  </si>
  <si>
    <t>7452535</t>
  </si>
  <si>
    <t>1822610</t>
  </si>
  <si>
    <t>11427</t>
  </si>
  <si>
    <t>7452537</t>
  </si>
  <si>
    <t>1899588</t>
  </si>
  <si>
    <t>11426</t>
  </si>
  <si>
    <t>23796</t>
  </si>
  <si>
    <t>1899589</t>
  </si>
  <si>
    <t>23613</t>
  </si>
  <si>
    <t>26861</t>
  </si>
  <si>
    <t>11650</t>
  </si>
  <si>
    <t>1899590</t>
  </si>
  <si>
    <t>7452402</t>
  </si>
  <si>
    <t>1899591</t>
  </si>
  <si>
    <t>26742</t>
  </si>
  <si>
    <t>1899585</t>
  </si>
  <si>
    <t>7451599</t>
  </si>
  <si>
    <t>26911</t>
  </si>
  <si>
    <t>23677</t>
  </si>
  <si>
    <t>6664</t>
  </si>
  <si>
    <t>7452508</t>
  </si>
  <si>
    <t>7453982</t>
  </si>
  <si>
    <t>11345</t>
  </si>
  <si>
    <t>7450374</t>
  </si>
  <si>
    <t>1820162</t>
  </si>
  <si>
    <t>7453978</t>
  </si>
  <si>
    <t>7453979</t>
  </si>
  <si>
    <t>7453987</t>
  </si>
  <si>
    <t>7453988</t>
  </si>
  <si>
    <t>7453990</t>
  </si>
  <si>
    <t>74554409</t>
  </si>
  <si>
    <t>7451420</t>
  </si>
  <si>
    <t>1899497</t>
  </si>
  <si>
    <t>7455433</t>
  </si>
  <si>
    <t>1821185</t>
  </si>
  <si>
    <t>7450316</t>
  </si>
  <si>
    <t>1820219</t>
  </si>
  <si>
    <t>1820194</t>
  </si>
  <si>
    <t>1821982</t>
  </si>
  <si>
    <t>11742</t>
  </si>
  <si>
    <t>1820983</t>
  </si>
  <si>
    <t>10915</t>
  </si>
  <si>
    <t>11849</t>
  </si>
  <si>
    <t>1821057</t>
  </si>
  <si>
    <t>11853</t>
  </si>
  <si>
    <t>1821058</t>
  </si>
  <si>
    <t>1821059</t>
  </si>
  <si>
    <t>1820283</t>
  </si>
  <si>
    <t>7450325</t>
  </si>
  <si>
    <t>11890</t>
  </si>
  <si>
    <t>1820251</t>
  </si>
  <si>
    <t>10939</t>
  </si>
  <si>
    <t>1822531</t>
  </si>
  <si>
    <t>7455284</t>
  </si>
  <si>
    <t>7453657</t>
  </si>
  <si>
    <t>11683</t>
  </si>
  <si>
    <t>11411</t>
  </si>
  <si>
    <t>11685</t>
  </si>
  <si>
    <t>1820412</t>
  </si>
  <si>
    <t>10804</t>
  </si>
  <si>
    <t>11389</t>
  </si>
  <si>
    <t>1821338</t>
  </si>
  <si>
    <t>1821337</t>
  </si>
  <si>
    <t>7452872</t>
  </si>
  <si>
    <t>27004</t>
  </si>
  <si>
    <t>7452148</t>
  </si>
  <si>
    <t>22080</t>
  </si>
  <si>
    <t>1821588</t>
  </si>
  <si>
    <t>7451003</t>
  </si>
  <si>
    <t>1821067</t>
  </si>
  <si>
    <t>1899532</t>
  </si>
  <si>
    <t>25519</t>
  </si>
  <si>
    <t>10452</t>
  </si>
  <si>
    <t>7452135</t>
  </si>
  <si>
    <t>1821955</t>
  </si>
  <si>
    <t>11071</t>
  </si>
  <si>
    <t>7452379</t>
  </si>
  <si>
    <t>1822012</t>
  </si>
  <si>
    <t>1821181</t>
  </si>
  <si>
    <t>1823227</t>
  </si>
  <si>
    <t>11806</t>
  </si>
  <si>
    <t>1823321</t>
  </si>
  <si>
    <t>1821052</t>
  </si>
  <si>
    <t>1820493</t>
  </si>
  <si>
    <t>1821129</t>
  </si>
  <si>
    <t>7450651</t>
  </si>
  <si>
    <t>7452907</t>
  </si>
  <si>
    <t>7450652</t>
  </si>
  <si>
    <t>1823320</t>
  </si>
  <si>
    <t>1821126</t>
  </si>
  <si>
    <t>1821050</t>
  </si>
  <si>
    <t>22992</t>
  </si>
  <si>
    <t>7452393</t>
  </si>
  <si>
    <t>1820490</t>
  </si>
  <si>
    <t>8171</t>
  </si>
  <si>
    <t>7451590</t>
  </si>
  <si>
    <t>7452141</t>
  </si>
  <si>
    <t>1209</t>
  </si>
  <si>
    <t>1821888</t>
  </si>
  <si>
    <t>26428</t>
  </si>
  <si>
    <t>11691</t>
  </si>
  <si>
    <t>9653</t>
  </si>
  <si>
    <t>11651</t>
  </si>
  <si>
    <t>9694</t>
  </si>
  <si>
    <t>11887</t>
  </si>
  <si>
    <t>6789</t>
  </si>
  <si>
    <t>22457</t>
  </si>
  <si>
    <t>22458</t>
  </si>
  <si>
    <t>22455</t>
  </si>
  <si>
    <t>22456</t>
  </si>
  <si>
    <t>22300</t>
  </si>
  <si>
    <t>6695</t>
  </si>
  <si>
    <t>26957</t>
  </si>
  <si>
    <t>1800174</t>
  </si>
  <si>
    <t>25248</t>
  </si>
  <si>
    <t>6699</t>
  </si>
  <si>
    <t>6886</t>
  </si>
  <si>
    <t>1821302</t>
  </si>
  <si>
    <t>7451496</t>
  </si>
  <si>
    <t>10454</t>
  </si>
  <si>
    <t>9177</t>
  </si>
  <si>
    <t>6693</t>
  </si>
  <si>
    <t>7454231</t>
  </si>
  <si>
    <t>1800252</t>
  </si>
  <si>
    <t>1820980</t>
  </si>
  <si>
    <t>11341</t>
  </si>
  <si>
    <t>1820390</t>
  </si>
  <si>
    <t>1822091</t>
  </si>
  <si>
    <t>1822203</t>
  </si>
  <si>
    <t>23690</t>
  </si>
  <si>
    <t>9545</t>
  </si>
  <si>
    <t>6700</t>
  </si>
  <si>
    <t>1821066</t>
  </si>
  <si>
    <t>7453226</t>
  </si>
  <si>
    <t>24058</t>
  </si>
  <si>
    <t>11320</t>
  </si>
  <si>
    <t>24059</t>
  </si>
  <si>
    <t>25572</t>
  </si>
  <si>
    <t>26372</t>
  </si>
  <si>
    <t>26388</t>
  </si>
  <si>
    <t>11038</t>
  </si>
  <si>
    <t>25444</t>
  </si>
  <si>
    <t>9453</t>
  </si>
  <si>
    <t>8977</t>
  </si>
  <si>
    <t>22765</t>
  </si>
  <si>
    <t>24682</t>
  </si>
  <si>
    <t>26768</t>
  </si>
  <si>
    <t>26769</t>
  </si>
  <si>
    <t>25317</t>
  </si>
  <si>
    <t>22397</t>
  </si>
  <si>
    <t>25316</t>
  </si>
  <si>
    <t>7451533</t>
  </si>
  <si>
    <t>7451532</t>
  </si>
  <si>
    <t>9103</t>
  </si>
  <si>
    <t>9104</t>
  </si>
  <si>
    <t>25166</t>
  </si>
  <si>
    <t>1820187</t>
  </si>
  <si>
    <t>25167</t>
  </si>
  <si>
    <t>9383</t>
  </si>
  <si>
    <t>745263827</t>
  </si>
  <si>
    <t>1800200</t>
  </si>
  <si>
    <t>26942</t>
  </si>
  <si>
    <t>1822240</t>
  </si>
  <si>
    <t>1820275</t>
  </si>
  <si>
    <t>1822621</t>
  </si>
  <si>
    <t>7452202</t>
  </si>
  <si>
    <t>10815</t>
  </si>
  <si>
    <t>1822622</t>
  </si>
  <si>
    <t>7452225</t>
  </si>
  <si>
    <t>7454142</t>
  </si>
  <si>
    <t>1822278</t>
  </si>
  <si>
    <t>7452212</t>
  </si>
  <si>
    <t>7452443</t>
  </si>
  <si>
    <t>7452444</t>
  </si>
  <si>
    <t>7452226</t>
  </si>
  <si>
    <t>7450222</t>
  </si>
  <si>
    <t>1820270</t>
  </si>
  <si>
    <t>1820272</t>
  </si>
  <si>
    <t>7452203</t>
  </si>
  <si>
    <t>26717</t>
  </si>
  <si>
    <t>1823027</t>
  </si>
  <si>
    <t>1823030</t>
  </si>
  <si>
    <t>10081</t>
  </si>
  <si>
    <t>7455470</t>
  </si>
  <si>
    <t>1823243</t>
  </si>
  <si>
    <t>7451645</t>
  </si>
  <si>
    <t>1823026</t>
  </si>
  <si>
    <t>1820256</t>
  </si>
  <si>
    <t>7452154</t>
  </si>
  <si>
    <t>1823029</t>
  </si>
  <si>
    <t>10059</t>
  </si>
  <si>
    <t>1820448</t>
  </si>
  <si>
    <t>7454241</t>
  </si>
  <si>
    <t>7450713</t>
  </si>
  <si>
    <t>7450748</t>
  </si>
  <si>
    <t>7451591</t>
  </si>
  <si>
    <t>7453722</t>
  </si>
  <si>
    <t>7453435</t>
  </si>
  <si>
    <t>1822060</t>
  </si>
  <si>
    <t>7451358</t>
  </si>
  <si>
    <t>1820638</t>
  </si>
  <si>
    <t>7452463</t>
  </si>
  <si>
    <t>1899392</t>
  </si>
  <si>
    <t>7453672</t>
  </si>
  <si>
    <t>23986</t>
  </si>
  <si>
    <t>26402</t>
  </si>
  <si>
    <t>1800134</t>
  </si>
  <si>
    <t>1899393</t>
  </si>
  <si>
    <t>22515</t>
  </si>
  <si>
    <t>7451300</t>
  </si>
  <si>
    <t>1820267</t>
  </si>
  <si>
    <t>26671</t>
  </si>
  <si>
    <t>1820615</t>
  </si>
  <si>
    <t>7451600</t>
  </si>
  <si>
    <t>7453576</t>
  </si>
  <si>
    <t>7453539</t>
  </si>
  <si>
    <t>7450747</t>
  </si>
  <si>
    <t>7451166</t>
  </si>
  <si>
    <t>6465</t>
  </si>
  <si>
    <t>11877</t>
  </si>
  <si>
    <t>11879</t>
  </si>
  <si>
    <t>6667</t>
  </si>
  <si>
    <t>10589</t>
  </si>
  <si>
    <t>6663</t>
  </si>
  <si>
    <t>11876</t>
  </si>
  <si>
    <t>7452507</t>
  </si>
  <si>
    <t>10825</t>
  </si>
  <si>
    <t>11508</t>
  </si>
  <si>
    <t>7451188</t>
  </si>
  <si>
    <t>7452830</t>
  </si>
  <si>
    <t>1823304</t>
  </si>
  <si>
    <t>22288</t>
  </si>
  <si>
    <t>11526</t>
  </si>
  <si>
    <t>11527</t>
  </si>
  <si>
    <t>11363</t>
  </si>
  <si>
    <t>1820278</t>
  </si>
  <si>
    <t>7452473</t>
  </si>
  <si>
    <t>1820628</t>
  </si>
  <si>
    <t>1820629</t>
  </si>
  <si>
    <t>27225</t>
  </si>
  <si>
    <t>8671</t>
  </si>
  <si>
    <t>1800281</t>
  </si>
  <si>
    <t>11897</t>
  </si>
  <si>
    <t>7452179</t>
  </si>
  <si>
    <t>1800136</t>
  </si>
  <si>
    <t>25546</t>
  </si>
  <si>
    <t>25545</t>
  </si>
  <si>
    <t>26842</t>
  </si>
  <si>
    <t>10368</t>
  </si>
  <si>
    <t>7452934</t>
  </si>
  <si>
    <t>8924</t>
  </si>
  <si>
    <t>8923</t>
  </si>
  <si>
    <t>8926</t>
  </si>
  <si>
    <t>10999</t>
  </si>
  <si>
    <t>24379</t>
  </si>
  <si>
    <t>7452041</t>
  </si>
  <si>
    <t>22348</t>
  </si>
  <si>
    <t>24380</t>
  </si>
  <si>
    <t>24013</t>
  </si>
  <si>
    <t>7452232</t>
  </si>
  <si>
    <t>11274</t>
  </si>
  <si>
    <t>23951</t>
  </si>
  <si>
    <t>25200</t>
  </si>
  <si>
    <t>24274</t>
  </si>
  <si>
    <t>10900</t>
  </si>
  <si>
    <t>9628</t>
  </si>
  <si>
    <t>24261</t>
  </si>
  <si>
    <t>23352</t>
  </si>
  <si>
    <t>26977</t>
  </si>
  <si>
    <t>7450256</t>
  </si>
  <si>
    <t>27000</t>
  </si>
  <si>
    <t>25342</t>
  </si>
  <si>
    <t>24468</t>
  </si>
  <si>
    <t>24470</t>
  </si>
  <si>
    <t>24471</t>
  </si>
  <si>
    <t>11109</t>
  </si>
  <si>
    <t>25677</t>
  </si>
  <si>
    <t>9648</t>
  </si>
  <si>
    <t>1821369</t>
  </si>
  <si>
    <t>1822912</t>
  </si>
  <si>
    <t>7451151</t>
  </si>
  <si>
    <t>1822183</t>
  </si>
  <si>
    <t>1822182</t>
  </si>
  <si>
    <t>7452692</t>
  </si>
  <si>
    <t>6683</t>
  </si>
  <si>
    <t>1800170</t>
  </si>
  <si>
    <t>1800171</t>
  </si>
  <si>
    <t>9729</t>
  </si>
  <si>
    <t>7452776</t>
  </si>
  <si>
    <t>11400</t>
  </si>
  <si>
    <t>11055</t>
  </si>
  <si>
    <t>MES_ATUAL</t>
  </si>
  <si>
    <t>QTD. MES_ATUAL</t>
  </si>
  <si>
    <t>COBERTURA ATUAL</t>
  </si>
  <si>
    <t>ESTOQUE ALVO</t>
  </si>
  <si>
    <t>RAZÃO DE PICO</t>
  </si>
  <si>
    <t>FLAG DE PICO</t>
  </si>
  <si>
    <t>CMM PROJETO</t>
  </si>
  <si>
    <t>QTD. EMPENHO</t>
  </si>
  <si>
    <t>NIVEL DO ESTOQUE</t>
  </si>
  <si>
    <t>Abastecido</t>
  </si>
  <si>
    <t>Sem CMM</t>
  </si>
  <si>
    <t>Atenção</t>
  </si>
  <si>
    <t>Crítico</t>
  </si>
  <si>
    <t>Sem Pico</t>
  </si>
  <si>
    <t>Sem consumo</t>
  </si>
  <si>
    <t>2026-05</t>
  </si>
  <si>
    <t>QTD. EMPENHO C/ PICO</t>
  </si>
  <si>
    <t>Sem Alteração</t>
  </si>
  <si>
    <t>Rótulos de Linha</t>
  </si>
  <si>
    <t>Total Geral</t>
  </si>
  <si>
    <t>Contagem de DESCRIÇÃO</t>
  </si>
  <si>
    <t>TOTAL DE ITENS</t>
  </si>
  <si>
    <t>Contagem de NIVEL DO ESTOQUE</t>
  </si>
  <si>
    <t>CARDS</t>
  </si>
  <si>
    <t>NÍVEL DO ESTOQUE</t>
  </si>
  <si>
    <t>MONITORAMENTO DE PICO</t>
  </si>
  <si>
    <t>Contagem de FLAG DE PICO</t>
  </si>
  <si>
    <t>Pico Ativo</t>
  </si>
  <si>
    <t>Inativo</t>
  </si>
  <si>
    <t>Sem Giro</t>
  </si>
  <si>
    <t>Pico em Andamento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</si>
</sst>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0"/>
      <name val="Bahnschrift"/>
      <family val="2"/>
    </font>
    <font>
      <sz val="16"/>
      <color theme="1"/>
      <name val="Calibri"/>
      <family val="2"/>
      <scheme val="minor"/>
    </font>
    <font>
      <sz val="16"/>
      <color theme="1"/>
      <name val="Bahnschrift"/>
      <family val="2"/>
    </font>
    <font>
      <sz val="16"/>
      <color theme="8" tint="-0.499984740745262"/>
      <name val="Bahnschrift"/>
      <family val="2"/>
    </font>
    <font>
      <b/>
      <sz val="16"/>
      <color theme="1"/>
      <name val="Bahnschrift"/>
      <family val="2"/>
    </font>
    <font>
      <sz val="14"/>
      <color theme="1"/>
      <name val="Bahnschrift"/>
      <family val="2"/>
    </font>
    <font>
      <b/>
      <sz val="14"/>
      <color theme="1"/>
      <name val="Bahnschrift"/>
      <family val="2"/>
    </font>
    <font>
      <sz val="20"/>
      <color theme="1"/>
      <name val="Bahnschrift"/>
      <family val="2"/>
    </font>
    <font>
      <b/>
      <sz val="20"/>
      <color theme="1"/>
      <name val="Bahnschrift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EC6C2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3" fillId="2" borderId="0" xfId="0" applyFont="1" applyFill="1" applyAlignment="1">
      <alignment horizontal="center" vertical="center"/>
    </xf>
    <xf numFmtId="44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4" fontId="5" fillId="0" borderId="0" xfId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pivotButton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2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b/>
      </font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name val="Bahnschrift"/>
        <scheme val="none"/>
      </font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Bahnschrif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0"/>
        <name val="Bahnschrift"/>
        <family val="2"/>
        <scheme val="none"/>
      </font>
      <fill>
        <patternFill patternType="solid">
          <fgColor indexed="64"/>
          <bgColor rgb="FF0EC6C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FFFB"/>
      <color rgb="FF0EBEBA"/>
      <color rgb="FFD69B32"/>
      <color rgb="FFBB6A4D"/>
      <color rgb="FF914F37"/>
      <color rgb="FFFFFFFF"/>
      <color rgb="FF0EC6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INILDO" refreshedDate="46152.540047106479" createdVersion="8" refreshedVersion="8" minRefreshableVersion="3" recordCount="333" xr:uid="{114FDDC4-8D02-4652-B243-55D59728E5DF}">
  <cacheSource type="worksheet">
    <worksheetSource name="SUPRA"/>
  </cacheSource>
  <cacheFields count="19">
    <cacheField name="COD" numFmtId="0">
      <sharedItems/>
    </cacheField>
    <cacheField name="DESCRIÇÃO" numFmtId="0">
      <sharedItems/>
    </cacheField>
    <cacheField name="ESTOQUE" numFmtId="0">
      <sharedItems containsSemiMixedTypes="0" containsString="0" containsNumber="1" containsInteger="1" minValue="0" maxValue="2461"/>
    </cacheField>
    <cacheField name="GERAL" numFmtId="0">
      <sharedItems containsSemiMixedTypes="0" containsString="0" containsNumber="1" containsInteger="1" minValue="0" maxValue="2549"/>
    </cacheField>
    <cacheField name="FARMÁCIA (OU QUARENTENA)" numFmtId="0">
      <sharedItems containsSemiMixedTypes="0" containsString="0" containsNumber="1" containsInteger="1" minValue="0" maxValue="282"/>
    </cacheField>
    <cacheField name="CMM" numFmtId="0">
      <sharedItems containsSemiMixedTypes="0" containsString="0" containsNumber="1" containsInteger="1" minValue="0" maxValue="498"/>
    </cacheField>
    <cacheField name="VALOR MÉDIO" numFmtId="44">
      <sharedItems containsSemiMixedTypes="0" containsString="0" containsNumber="1" minValue="3.7391304347999998" maxValue="2634091.0068587111"/>
    </cacheField>
    <cacheField name="VALOR ULTIMA ENTRADA" numFmtId="44">
      <sharedItems containsSemiMixedTypes="0" containsString="0" containsNumber="1" minValue="0" maxValue="62130"/>
    </cacheField>
    <cacheField name="ENTRADA" numFmtId="14">
      <sharedItems containsSemiMixedTypes="0" containsNonDate="0" containsDate="1" containsString="0" minDate="2022-04-11T00:00:00" maxDate="2026-05-01T00:00:00"/>
    </cacheField>
    <cacheField name="MES_ATUAL" numFmtId="0">
      <sharedItems containsBlank="1"/>
    </cacheField>
    <cacheField name="QTD. MES_ATUAL" numFmtId="0">
      <sharedItems containsString="0" containsBlank="1" containsNumber="1" containsInteger="1" minValue="1" maxValue="60"/>
    </cacheField>
    <cacheField name="COBERTURA ATUAL" numFmtId="0">
      <sharedItems containsString="0" containsBlank="1" containsNumber="1" minValue="0" maxValue="53.5"/>
    </cacheField>
    <cacheField name="ESTOQUE ALVO" numFmtId="0">
      <sharedItems containsString="0" containsBlank="1" containsNumber="1" containsInteger="1" minValue="3" maxValue="1494"/>
    </cacheField>
    <cacheField name="RAZÃO DE PICO" numFmtId="0">
      <sharedItems containsString="0" containsBlank="1" containsNumber="1" minValue="3.1512605042016806E-2" maxValue="1.6666666666666667"/>
    </cacheField>
    <cacheField name="FLAG DE PICO" numFmtId="0">
      <sharedItems count="3">
        <s v="Sem Pico"/>
        <s v="Pico Ativo"/>
        <s v="Pico em Andamento" u="1"/>
      </sharedItems>
    </cacheField>
    <cacheField name="CMM PROJETO" numFmtId="0">
      <sharedItems containsSemiMixedTypes="0" containsString="0" containsNumber="1" containsInteger="1" minValue="0" maxValue="498"/>
    </cacheField>
    <cacheField name="QTD. EMPENHO" numFmtId="0">
      <sharedItems containsMixedTypes="1" containsNumber="1" containsInteger="1" minValue="0" maxValue="699"/>
    </cacheField>
    <cacheField name="QTD. EMPENHO C/ PICO" numFmtId="0">
      <sharedItems containsMixedTypes="1" containsNumber="1" containsInteger="1" minValue="0" maxValue="0"/>
    </cacheField>
    <cacheField name="NIVEL DO ESTOQUE" numFmtId="0">
      <sharedItems count="4">
        <s v="Abastecido"/>
        <s v="Atenção"/>
        <s v="Sem CMM"/>
        <s v="Crític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">
  <r>
    <s v="24269"/>
    <s v="AGULHA NEURO ESTIMULADORA 100"/>
    <n v="44"/>
    <n v="54"/>
    <n v="10"/>
    <n v="7"/>
    <n v="50.7116958541"/>
    <n v="50"/>
    <d v="2025-11-17T00:00:00"/>
    <m/>
    <m/>
    <n v="6.3"/>
    <n v="21"/>
    <m/>
    <x v="0"/>
    <n v="7"/>
    <n v="0"/>
    <s v="Sem Alteração"/>
    <x v="0"/>
  </r>
  <r>
    <s v="22677"/>
    <s v="AGULHA NEURO ESTIMULADORA 50"/>
    <n v="45"/>
    <n v="62"/>
    <n v="17"/>
    <n v="15"/>
    <n v="49.619713264200001"/>
    <n v="50"/>
    <d v="2026-02-11T00:00:00"/>
    <m/>
    <m/>
    <n v="3"/>
    <n v="45"/>
    <m/>
    <x v="0"/>
    <n v="15"/>
    <n v="15"/>
    <s v="Sem Alteração"/>
    <x v="1"/>
  </r>
  <r>
    <s v="10957"/>
    <s v="AGULHA PUNÇÃO TRANSEPTAL"/>
    <n v="0"/>
    <n v="0"/>
    <n v="0"/>
    <n v="0"/>
    <n v="1628.55"/>
    <n v="1628.55"/>
    <d v="2025-07-28T00:00:00"/>
    <m/>
    <m/>
    <m/>
    <m/>
    <m/>
    <x v="0"/>
    <n v="0"/>
    <s v="Sem consumo"/>
    <s v="Sem consumo"/>
    <x v="2"/>
  </r>
  <r>
    <s v="7450738"/>
    <s v="BAINHA INTRODUTORA 9FR 45/80 CIA"/>
    <n v="2"/>
    <n v="2"/>
    <n v="0"/>
    <n v="1"/>
    <n v="2634091.0068587111"/>
    <n v="0"/>
    <d v="2026-03-26T00:00:00"/>
    <m/>
    <m/>
    <n v="2"/>
    <n v="3"/>
    <m/>
    <x v="0"/>
    <n v="1"/>
    <n v="2"/>
    <s v="Sem Alteração"/>
    <x v="1"/>
  </r>
  <r>
    <s v="22894"/>
    <s v="BOLSA DRENAGEM P/ HEMODIALISE 5L"/>
    <n v="20"/>
    <n v="20"/>
    <n v="0"/>
    <n v="0"/>
    <n v="89"/>
    <n v="89"/>
    <d v="2026-04-15T00:00:00"/>
    <m/>
    <m/>
    <m/>
    <m/>
    <m/>
    <x v="0"/>
    <n v="0"/>
    <s v="Sem consumo"/>
    <s v="Sem consumo"/>
    <x v="2"/>
  </r>
  <r>
    <s v="22482"/>
    <s v="BOMBA CENTRIFUGA RECOBERTA 5S"/>
    <n v="21"/>
    <n v="26"/>
    <n v="5"/>
    <n v="1"/>
    <n v="768.30583218310005"/>
    <n v="729.56"/>
    <d v="2026-02-06T00:00:00"/>
    <m/>
    <m/>
    <n v="21"/>
    <n v="3"/>
    <m/>
    <x v="0"/>
    <n v="1"/>
    <n v="0"/>
    <s v="Sem Alteração"/>
    <x v="0"/>
  </r>
  <r>
    <s v="22459"/>
    <s v="BOMBA CENTRIFUGA SAFIRA"/>
    <n v="120"/>
    <n v="143"/>
    <n v="23"/>
    <n v="69"/>
    <n v="729.55837233260002"/>
    <n v="729.56"/>
    <d v="2025-12-15T00:00:00"/>
    <m/>
    <m/>
    <n v="1.7"/>
    <n v="207"/>
    <m/>
    <x v="0"/>
    <n v="69"/>
    <n v="159"/>
    <s v="Sem Alteração"/>
    <x v="1"/>
  </r>
  <r>
    <s v="8169"/>
    <s v="CANULA  VENOSA 26FR PT 90º"/>
    <n v="10"/>
    <n v="19"/>
    <n v="9"/>
    <n v="1"/>
    <n v="90"/>
    <n v="600"/>
    <d v="2025-12-02T00:00:00"/>
    <m/>
    <m/>
    <n v="10"/>
    <n v="3"/>
    <m/>
    <x v="0"/>
    <n v="1"/>
    <n v="0"/>
    <s v="Sem Alteração"/>
    <x v="0"/>
  </r>
  <r>
    <s v="7452081"/>
    <s v="CANULA ARTERIAL 10FR PT RETA ALONG"/>
    <n v="39"/>
    <n v="44"/>
    <n v="5"/>
    <n v="8"/>
    <n v="476.53515038350002"/>
    <n v="470"/>
    <d v="2026-04-30T00:00:00"/>
    <m/>
    <m/>
    <n v="4.9000000000000004"/>
    <n v="24"/>
    <m/>
    <x v="0"/>
    <n v="8"/>
    <n v="0"/>
    <s v="Sem Alteração"/>
    <x v="0"/>
  </r>
  <r>
    <s v="7452173"/>
    <s v="CANULA ARTERIAL 12FR PT RETA ALONG"/>
    <n v="24"/>
    <n v="30"/>
    <n v="6"/>
    <n v="4"/>
    <n v="472.89896494700002"/>
    <n v="470"/>
    <d v="2026-04-08T00:00:00"/>
    <m/>
    <m/>
    <n v="6"/>
    <n v="12"/>
    <m/>
    <x v="0"/>
    <n v="4"/>
    <n v="0"/>
    <s v="Sem Alteração"/>
    <x v="0"/>
  </r>
  <r>
    <s v="7452083"/>
    <s v="CANULA ARTERIAL 14FR PT RETA ALONG"/>
    <n v="23"/>
    <n v="29"/>
    <n v="6"/>
    <n v="2"/>
    <n v="502.69805028320002"/>
    <n v="470"/>
    <d v="2026-04-24T00:00:00"/>
    <m/>
    <m/>
    <n v="11.5"/>
    <n v="6"/>
    <m/>
    <x v="0"/>
    <n v="2"/>
    <n v="0"/>
    <s v="Sem Alteração"/>
    <x v="0"/>
  </r>
  <r>
    <s v="7452730"/>
    <s v="CANULA ARTERIAL 16FR PT RETA ALONG"/>
    <n v="9"/>
    <n v="14"/>
    <n v="5"/>
    <n v="4"/>
    <n v="517.09150916370004"/>
    <n v="489"/>
    <d v="2026-02-19T00:00:00"/>
    <m/>
    <m/>
    <n v="2.2000000000000002"/>
    <n v="12"/>
    <m/>
    <x v="0"/>
    <n v="4"/>
    <n v="8"/>
    <s v="Sem Alteração"/>
    <x v="1"/>
  </r>
  <r>
    <s v="7450525"/>
    <s v="CANULA ARTERIAL 18FR PT CURVA 45°"/>
    <n v="7"/>
    <n v="10"/>
    <n v="3"/>
    <n v="0"/>
    <n v="90"/>
    <n v="300"/>
    <d v="2026-01-13T00:00:00"/>
    <m/>
    <m/>
    <m/>
    <m/>
    <m/>
    <x v="0"/>
    <n v="0"/>
    <s v="Sem consumo"/>
    <s v="Sem consumo"/>
    <x v="2"/>
  </r>
  <r>
    <s v="7452536"/>
    <s v="CANULA ARTERIAL 18FR PT CURVA 80°"/>
    <n v="11"/>
    <n v="14"/>
    <n v="3"/>
    <n v="0"/>
    <n v="228.76923076919999"/>
    <n v="300"/>
    <d v="2026-01-13T00:00:00"/>
    <m/>
    <m/>
    <m/>
    <m/>
    <m/>
    <x v="0"/>
    <n v="0"/>
    <s v="Sem consumo"/>
    <s v="Sem consumo"/>
    <x v="2"/>
  </r>
  <r>
    <s v="7453009"/>
    <s v="CANULA ARTERIAL 18FR RETA ALONG"/>
    <n v="24"/>
    <n v="31"/>
    <n v="7"/>
    <n v="3"/>
    <n v="488.85568371890002"/>
    <n v="490"/>
    <d v="2026-04-10T00:00:00"/>
    <m/>
    <m/>
    <n v="8"/>
    <n v="9"/>
    <m/>
    <x v="0"/>
    <n v="3"/>
    <n v="0"/>
    <s v="Sem Alteração"/>
    <x v="0"/>
  </r>
  <r>
    <s v="7452025"/>
    <s v="CANULA ARTERIAL 20FR PT CURVA 80°"/>
    <n v="31"/>
    <n v="36"/>
    <n v="5"/>
    <n v="7"/>
    <n v="351.02941176489998"/>
    <n v="360"/>
    <d v="2026-04-01T00:00:00"/>
    <m/>
    <m/>
    <n v="4.4000000000000004"/>
    <n v="21"/>
    <m/>
    <x v="0"/>
    <n v="7"/>
    <n v="0"/>
    <s v="Sem Alteração"/>
    <x v="0"/>
  </r>
  <r>
    <s v="1820279"/>
    <s v="CANULA ARTERIAL 20FR PT/CURVA 45º"/>
    <n v="26"/>
    <n v="31"/>
    <n v="5"/>
    <n v="1"/>
    <n v="321.06030364859998"/>
    <n v="300"/>
    <d v="2026-01-13T00:00:00"/>
    <m/>
    <m/>
    <n v="26"/>
    <n v="3"/>
    <m/>
    <x v="0"/>
    <n v="1"/>
    <n v="0"/>
    <s v="Sem Alteração"/>
    <x v="0"/>
  </r>
  <r>
    <s v="7453216"/>
    <s v="CANULA ARTERIAL 21FR 3/8"/>
    <n v="0"/>
    <n v="0"/>
    <n v="0"/>
    <n v="0"/>
    <n v="360"/>
    <n v="420"/>
    <d v="2025-08-07T00:00:00"/>
    <m/>
    <m/>
    <m/>
    <m/>
    <m/>
    <x v="0"/>
    <n v="0"/>
    <s v="Sem consumo"/>
    <s v="Sem consumo"/>
    <x v="2"/>
  </r>
  <r>
    <s v="7452156"/>
    <s v="CANULA ARTERIAL 22FR PT CURVA 45º"/>
    <n v="73"/>
    <n v="82"/>
    <n v="9"/>
    <n v="7"/>
    <n v="324.27985067039998"/>
    <n v="315"/>
    <d v="2025-11-25T00:00:00"/>
    <m/>
    <m/>
    <n v="10.4"/>
    <n v="21"/>
    <m/>
    <x v="0"/>
    <n v="7"/>
    <n v="0"/>
    <s v="Sem Alteração"/>
    <x v="0"/>
  </r>
  <r>
    <s v="11433"/>
    <s v="CANULA ARTERIAL 22FR PT CURVA 80º"/>
    <n v="42"/>
    <n v="49"/>
    <n v="7"/>
    <n v="9"/>
    <n v="315"/>
    <n v="315"/>
    <d v="2025-12-02T00:00:00"/>
    <m/>
    <m/>
    <n v="4.7"/>
    <n v="27"/>
    <m/>
    <x v="0"/>
    <n v="9"/>
    <n v="0"/>
    <s v="Sem Alteração"/>
    <x v="0"/>
  </r>
  <r>
    <s v="7450736"/>
    <s v="CANULA ARTERIAL 24FR 3/8"/>
    <n v="0"/>
    <n v="0"/>
    <n v="0"/>
    <n v="0"/>
    <n v="360"/>
    <n v="440"/>
    <d v="2025-08-07T00:00:00"/>
    <m/>
    <m/>
    <m/>
    <m/>
    <m/>
    <x v="0"/>
    <n v="0"/>
    <s v="Sem consumo"/>
    <s v="Sem consumo"/>
    <x v="2"/>
  </r>
  <r>
    <s v="9807"/>
    <s v="CANULA ARTERIAL 24FR PT CURVA 80°"/>
    <n v="95"/>
    <n v="102"/>
    <n v="7"/>
    <n v="0"/>
    <n v="417.90077355019997"/>
    <n v="418"/>
    <d v="2025-12-02T00:00:00"/>
    <m/>
    <m/>
    <m/>
    <m/>
    <m/>
    <x v="0"/>
    <n v="0"/>
    <s v="Sem consumo"/>
    <s v="Sem consumo"/>
    <x v="2"/>
  </r>
  <r>
    <s v="7452533"/>
    <s v="CANULA ARTERIAL 24FR PT/CURVA 45º"/>
    <n v="87"/>
    <n v="93"/>
    <n v="6"/>
    <n v="8"/>
    <n v="399.91519191039998"/>
    <n v="418.5"/>
    <d v="2025-12-02T00:00:00"/>
    <m/>
    <m/>
    <n v="10.9"/>
    <n v="24"/>
    <m/>
    <x v="0"/>
    <n v="8"/>
    <n v="0"/>
    <s v="Sem Alteração"/>
    <x v="0"/>
  </r>
  <r>
    <s v="9581"/>
    <s v="CANULA ARTERIAL 6FR PT RETA ALONG"/>
    <n v="17"/>
    <n v="24"/>
    <n v="7"/>
    <n v="2"/>
    <n v="558.76011299499999"/>
    <n v="561.6"/>
    <d v="2025-10-29T00:00:00"/>
    <m/>
    <m/>
    <n v="8.5"/>
    <n v="6"/>
    <m/>
    <x v="0"/>
    <n v="2"/>
    <n v="0"/>
    <s v="Sem Alteração"/>
    <x v="0"/>
  </r>
  <r>
    <s v="7452171"/>
    <s v="CANULA ARTERIAL 8FR PT RETA ALONG"/>
    <n v="35"/>
    <n v="42"/>
    <n v="7"/>
    <n v="6"/>
    <n v="579.61471050529997"/>
    <n v="545"/>
    <d v="2025-12-02T00:00:00"/>
    <m/>
    <m/>
    <n v="5.8"/>
    <n v="18"/>
    <m/>
    <x v="0"/>
    <n v="6"/>
    <n v="0"/>
    <s v="Sem Alteração"/>
    <x v="0"/>
  </r>
  <r>
    <s v="24950"/>
    <s v="CANULA CARDIOPLEGIA RETROGRADA 15FR"/>
    <n v="0"/>
    <n v="0"/>
    <n v="0"/>
    <n v="0"/>
    <n v="550"/>
    <n v="550"/>
    <d v="2023-08-03T00:00:00"/>
    <m/>
    <m/>
    <m/>
    <m/>
    <m/>
    <x v="0"/>
    <n v="0"/>
    <s v="Sem consumo"/>
    <s v="Sem consumo"/>
    <x v="2"/>
  </r>
  <r>
    <s v="7452534"/>
    <s v="CANULA VENOSA 12FR U. E. PT RETA"/>
    <n v="5"/>
    <n v="10"/>
    <n v="5"/>
    <n v="0"/>
    <n v="377.50130718359998"/>
    <n v="360"/>
    <d v="2024-12-09T00:00:00"/>
    <m/>
    <m/>
    <m/>
    <m/>
    <m/>
    <x v="0"/>
    <n v="0"/>
    <s v="Sem consumo"/>
    <s v="Sem consumo"/>
    <x v="2"/>
  </r>
  <r>
    <s v="11425"/>
    <s v="CANULA VENOSA 12FR U.E PT 90º"/>
    <n v="18"/>
    <n v="21"/>
    <n v="3"/>
    <n v="5"/>
    <n v="308.26807760140002"/>
    <n v="300"/>
    <d v="2026-02-19T00:00:00"/>
    <m/>
    <m/>
    <n v="3.6"/>
    <n v="15"/>
    <m/>
    <x v="0"/>
    <n v="5"/>
    <n v="0"/>
    <s v="Sem Alteração"/>
    <x v="0"/>
  </r>
  <r>
    <s v="7451313"/>
    <s v="CANULA VENOSA 12FR U.E. PT MET 90º"/>
    <n v="22"/>
    <n v="27"/>
    <n v="5"/>
    <n v="2"/>
    <n v="498.01758048900001"/>
    <n v="490"/>
    <d v="2026-03-19T00:00:00"/>
    <m/>
    <m/>
    <n v="11"/>
    <n v="6"/>
    <m/>
    <x v="0"/>
    <n v="2"/>
    <n v="0"/>
    <s v="Sem Alteração"/>
    <x v="0"/>
  </r>
  <r>
    <s v="9592"/>
    <s v="CANULA VENOSA 14FR U. E. PT 90°"/>
    <n v="18"/>
    <n v="23"/>
    <n v="5"/>
    <n v="5"/>
    <n v="490.4096790891"/>
    <n v="410"/>
    <d v="2026-01-16T00:00:00"/>
    <m/>
    <m/>
    <n v="3.6"/>
    <n v="15"/>
    <m/>
    <x v="0"/>
    <n v="5"/>
    <n v="0"/>
    <s v="Sem Alteração"/>
    <x v="0"/>
  </r>
  <r>
    <s v="7452932"/>
    <s v="CANULA VENOSA 14FR U.E PT MET 90º"/>
    <n v="18"/>
    <n v="23"/>
    <n v="5"/>
    <n v="5"/>
    <n v="426.58238813470001"/>
    <n v="318"/>
    <d v="2026-03-18T00:00:00"/>
    <m/>
    <m/>
    <n v="3.6"/>
    <n v="15"/>
    <m/>
    <x v="0"/>
    <n v="5"/>
    <n v="0"/>
    <s v="Sem Alteração"/>
    <x v="0"/>
  </r>
  <r>
    <s v="7453075"/>
    <s v="CANULA VENOSA 14FR U.E PT RETA"/>
    <n v="16"/>
    <n v="21"/>
    <n v="5"/>
    <n v="7"/>
    <n v="316.79837228060001"/>
    <n v="370"/>
    <d v="2025-12-04T00:00:00"/>
    <m/>
    <m/>
    <n v="2.2999999999999998"/>
    <n v="21"/>
    <m/>
    <x v="0"/>
    <n v="7"/>
    <n v="12"/>
    <s v="Sem Alteração"/>
    <x v="1"/>
  </r>
  <r>
    <s v="7452281"/>
    <s v="CANULA VENOSA 16FR PT RETA"/>
    <n v="15"/>
    <n v="20"/>
    <n v="5"/>
    <n v="6"/>
    <n v="277.98421528099999"/>
    <n v="278"/>
    <d v="2026-02-26T00:00:00"/>
    <m/>
    <m/>
    <n v="2.5"/>
    <n v="18"/>
    <m/>
    <x v="0"/>
    <n v="6"/>
    <n v="9"/>
    <s v="Sem Alteração"/>
    <x v="1"/>
  </r>
  <r>
    <s v="7452408"/>
    <s v="CANULA VENOSA 16FR U. E. PT 90º"/>
    <n v="45"/>
    <n v="49"/>
    <n v="4"/>
    <n v="1"/>
    <n v="458.14941924589999"/>
    <n v="410"/>
    <d v="2026-02-26T00:00:00"/>
    <m/>
    <m/>
    <n v="45"/>
    <n v="3"/>
    <m/>
    <x v="0"/>
    <n v="1"/>
    <n v="0"/>
    <s v="Sem Alteração"/>
    <x v="0"/>
  </r>
  <r>
    <s v="7451314"/>
    <s v="CANULA VENOSA 16FR U.E PT MET 90º"/>
    <n v="33"/>
    <n v="38"/>
    <n v="5"/>
    <n v="5"/>
    <n v="383.71648245429998"/>
    <n v="318"/>
    <d v="2026-03-18T00:00:00"/>
    <m/>
    <m/>
    <n v="6.6"/>
    <n v="15"/>
    <m/>
    <x v="0"/>
    <n v="5"/>
    <n v="0"/>
    <s v="Sem Alteração"/>
    <x v="0"/>
  </r>
  <r>
    <s v="11643"/>
    <s v="CANULA VENOSA 18FR PT MET 90°"/>
    <n v="26"/>
    <n v="31"/>
    <n v="5"/>
    <n v="3"/>
    <n v="424.74970705840002"/>
    <n v="480"/>
    <d v="2026-04-08T00:00:00"/>
    <m/>
    <m/>
    <n v="8.6999999999999993"/>
    <n v="9"/>
    <m/>
    <x v="0"/>
    <n v="3"/>
    <n v="0"/>
    <s v="Sem Alteração"/>
    <x v="0"/>
  </r>
  <r>
    <s v="8472"/>
    <s v="CANULA VENOSA 18FR PT RETA"/>
    <n v="9"/>
    <n v="14"/>
    <n v="5"/>
    <n v="3"/>
    <n v="252.9637566721"/>
    <n v="280"/>
    <d v="2026-02-27T00:00:00"/>
    <m/>
    <m/>
    <n v="3"/>
    <n v="9"/>
    <m/>
    <x v="0"/>
    <n v="3"/>
    <n v="3"/>
    <s v="Sem Alteração"/>
    <x v="1"/>
  </r>
  <r>
    <s v="7452404"/>
    <s v="CANULA VENOSA 18FR U.E PT 90º"/>
    <n v="17"/>
    <n v="21"/>
    <n v="4"/>
    <n v="2"/>
    <n v="315.96427172"/>
    <n v="2985"/>
    <d v="2025-12-04T00:00:00"/>
    <m/>
    <m/>
    <n v="8.5"/>
    <n v="6"/>
    <m/>
    <x v="0"/>
    <n v="2"/>
    <n v="0"/>
    <s v="Sem Alteração"/>
    <x v="0"/>
  </r>
  <r>
    <s v="11644"/>
    <s v="CANULA VENOSA 20FR U.E PT MET 90º"/>
    <n v="14"/>
    <n v="20"/>
    <n v="6"/>
    <n v="1"/>
    <n v="138.17478780850001"/>
    <n v="460"/>
    <d v="2026-03-19T00:00:00"/>
    <m/>
    <m/>
    <n v="14"/>
    <n v="3"/>
    <m/>
    <x v="0"/>
    <n v="1"/>
    <n v="0"/>
    <s v="Sem Alteração"/>
    <x v="0"/>
  </r>
  <r>
    <s v="11894"/>
    <s v="CANULA VENOSA 20FR U.E. PT 90°"/>
    <n v="21"/>
    <n v="25"/>
    <n v="4"/>
    <n v="2"/>
    <n v="427.6000000002"/>
    <n v="318"/>
    <d v="2026-04-01T00:00:00"/>
    <m/>
    <m/>
    <n v="10.5"/>
    <n v="6"/>
    <m/>
    <x v="0"/>
    <n v="2"/>
    <n v="0"/>
    <s v="Sem Alteração"/>
    <x v="0"/>
  </r>
  <r>
    <s v="11429"/>
    <s v="CANULA VENOSA 22FR U.E PT MET 90ª"/>
    <n v="48"/>
    <n v="54"/>
    <n v="6"/>
    <n v="1"/>
    <n v="462.88589650030002"/>
    <n v="435"/>
    <d v="2026-01-13T00:00:00"/>
    <m/>
    <m/>
    <n v="48"/>
    <n v="3"/>
    <m/>
    <x v="0"/>
    <n v="1"/>
    <n v="0"/>
    <s v="Sem Alteração"/>
    <x v="0"/>
  </r>
  <r>
    <s v="9652"/>
    <s v="CANULA VENOSA 22FR U.E PT RETA"/>
    <n v="34"/>
    <n v="39"/>
    <n v="5"/>
    <n v="1"/>
    <n v="492.22651032329998"/>
    <n v="368"/>
    <d v="2026-04-24T00:00:00"/>
    <m/>
    <m/>
    <n v="34"/>
    <n v="3"/>
    <m/>
    <x v="0"/>
    <n v="1"/>
    <n v="0"/>
    <s v="Sem Alteração"/>
    <x v="0"/>
  </r>
  <r>
    <s v="7452535"/>
    <s v="CANULA VENOSA 22FR U.E. PT 90º"/>
    <n v="15"/>
    <n v="20"/>
    <n v="5"/>
    <n v="1"/>
    <n v="441.38858377050002"/>
    <n v="315"/>
    <d v="2025-10-29T00:00:00"/>
    <m/>
    <m/>
    <n v="15"/>
    <n v="3"/>
    <m/>
    <x v="0"/>
    <n v="1"/>
    <n v="0"/>
    <s v="Sem Alteração"/>
    <x v="0"/>
  </r>
  <r>
    <s v="1822610"/>
    <s v="CANULA VENOSA 24FR PT MET 90º"/>
    <n v="19"/>
    <n v="22"/>
    <n v="3"/>
    <n v="11"/>
    <n v="461.36688159660002"/>
    <n v="460"/>
    <d v="2026-04-01T00:00:00"/>
    <m/>
    <m/>
    <n v="1.7"/>
    <n v="33"/>
    <m/>
    <x v="0"/>
    <n v="11"/>
    <n v="26"/>
    <s v="Sem Alteração"/>
    <x v="1"/>
  </r>
  <r>
    <s v="11427"/>
    <s v="CANULA VENOSA 24FR U.E PT 90º"/>
    <n v="48"/>
    <n v="52"/>
    <n v="4"/>
    <n v="2"/>
    <n v="495.42678276729998"/>
    <n v="600"/>
    <d v="2025-11-06T00:00:00"/>
    <m/>
    <m/>
    <n v="24"/>
    <n v="6"/>
    <m/>
    <x v="0"/>
    <n v="2"/>
    <n v="0"/>
    <s v="Sem Alteração"/>
    <x v="0"/>
  </r>
  <r>
    <s v="7452537"/>
    <s v="CANULA VENOSA 24FR U.E PT RETA"/>
    <n v="15"/>
    <n v="22"/>
    <n v="7"/>
    <n v="1"/>
    <n v="485.1818814664"/>
    <n v="420"/>
    <d v="2026-04-20T00:00:00"/>
    <m/>
    <m/>
    <n v="15"/>
    <n v="3"/>
    <m/>
    <x v="0"/>
    <n v="1"/>
    <n v="0"/>
    <s v="Sem Alteração"/>
    <x v="0"/>
  </r>
  <r>
    <s v="1899588"/>
    <s v="CANULA VENOSA 28FR U.E PT 90°"/>
    <n v="35"/>
    <n v="46"/>
    <n v="11"/>
    <n v="12"/>
    <n v="376.42978510789999"/>
    <n v="370"/>
    <d v="2026-04-30T00:00:00"/>
    <m/>
    <m/>
    <n v="2.9"/>
    <n v="36"/>
    <m/>
    <x v="0"/>
    <n v="12"/>
    <n v="14"/>
    <s v="Sem Alteração"/>
    <x v="1"/>
  </r>
  <r>
    <s v="11426"/>
    <s v="CANULA VENOSA 28FR U.E PT MET 90°"/>
    <n v="19"/>
    <n v="28"/>
    <n v="9"/>
    <n v="4"/>
    <n v="490.75614491810001"/>
    <n v="495"/>
    <d v="2025-11-13T00:00:00"/>
    <m/>
    <m/>
    <n v="4.8"/>
    <n v="12"/>
    <m/>
    <x v="0"/>
    <n v="4"/>
    <n v="0"/>
    <s v="Sem Alteração"/>
    <x v="0"/>
  </r>
  <r>
    <s v="23796"/>
    <s v="CANULA VENOSA 29FR T.ESTAGIO 3/8"/>
    <n v="57"/>
    <n v="63"/>
    <n v="6"/>
    <n v="11"/>
    <n v="315"/>
    <n v="315"/>
    <d v="2026-04-07T00:00:00"/>
    <m/>
    <m/>
    <n v="5.2"/>
    <n v="33"/>
    <m/>
    <x v="0"/>
    <n v="11"/>
    <n v="0"/>
    <s v="Sem Alteração"/>
    <x v="0"/>
  </r>
  <r>
    <s v="1899589"/>
    <s v="CANULA VENOSA 30FR U.E PT 90º"/>
    <n v="16"/>
    <n v="19"/>
    <n v="3"/>
    <n v="4"/>
    <n v="128.28684210540001"/>
    <n v="540"/>
    <d v="2025-12-02T00:00:00"/>
    <m/>
    <m/>
    <n v="4"/>
    <n v="12"/>
    <m/>
    <x v="0"/>
    <n v="4"/>
    <n v="0"/>
    <s v="Sem Alteração"/>
    <x v="0"/>
  </r>
  <r>
    <s v="23613"/>
    <s v="CANULA VENOSA 31FR U.E PT MET 90º"/>
    <n v="15"/>
    <n v="15"/>
    <n v="0"/>
    <n v="0"/>
    <n v="318"/>
    <n v="318"/>
    <d v="2026-04-01T00:00:00"/>
    <m/>
    <m/>
    <m/>
    <m/>
    <m/>
    <x v="0"/>
    <n v="0"/>
    <s v="Sem consumo"/>
    <s v="Sem consumo"/>
    <x v="2"/>
  </r>
  <r>
    <s v="26861"/>
    <s v="CANULA VENOSA 32/40 D.E RETA"/>
    <n v="37"/>
    <n v="42"/>
    <n v="5"/>
    <n v="0"/>
    <n v="280"/>
    <n v="280"/>
    <d v="2025-12-09T00:00:00"/>
    <m/>
    <m/>
    <m/>
    <m/>
    <m/>
    <x v="0"/>
    <n v="0"/>
    <s v="Sem consumo"/>
    <s v="Sem consumo"/>
    <x v="2"/>
  </r>
  <r>
    <s v="11650"/>
    <s v="CANULA VENOSA 32/40FR D. E. OVAL"/>
    <n v="39"/>
    <n v="40"/>
    <n v="1"/>
    <n v="11"/>
    <n v="410.16335507650001"/>
    <n v="448"/>
    <d v="2026-04-17T00:00:00"/>
    <m/>
    <m/>
    <n v="3.5"/>
    <n v="33"/>
    <m/>
    <x v="0"/>
    <n v="11"/>
    <n v="0"/>
    <s v="Sem Alteração"/>
    <x v="0"/>
  </r>
  <r>
    <s v="1899590"/>
    <s v="CANULA VENOSA 32FR U.E PT 90°"/>
    <n v="10"/>
    <n v="12"/>
    <n v="2"/>
    <n v="1"/>
    <n v="148.8285112762"/>
    <n v="500"/>
    <d v="2026-04-24T00:00:00"/>
    <m/>
    <m/>
    <n v="10"/>
    <n v="3"/>
    <m/>
    <x v="0"/>
    <n v="1"/>
    <n v="0"/>
    <s v="Sem Alteração"/>
    <x v="0"/>
  </r>
  <r>
    <s v="7452402"/>
    <s v="CANULA VENOSA 32FR U.E PT RETA"/>
    <n v="0"/>
    <n v="2"/>
    <n v="2"/>
    <n v="0"/>
    <n v="325.77156659579998"/>
    <n v="552"/>
    <d v="2022-05-09T00:00:00"/>
    <m/>
    <m/>
    <m/>
    <m/>
    <m/>
    <x v="0"/>
    <n v="0"/>
    <s v="Sem consumo"/>
    <s v="Sem consumo"/>
    <x v="2"/>
  </r>
  <r>
    <s v="1899591"/>
    <s v="CANULA VENOSA 34FR U.E PT 90°"/>
    <n v="12"/>
    <n v="12"/>
    <n v="0"/>
    <n v="0"/>
    <n v="337.1666666667"/>
    <n v="318"/>
    <d v="2026-04-01T00:00:00"/>
    <m/>
    <m/>
    <m/>
    <m/>
    <m/>
    <x v="0"/>
    <n v="0"/>
    <s v="Sem consumo"/>
    <s v="Sem consumo"/>
    <x v="2"/>
  </r>
  <r>
    <s v="26742"/>
    <s v="CANULA VENOSA 36/46/PT TRI.ESTAGIO"/>
    <n v="1"/>
    <n v="3"/>
    <n v="2"/>
    <n v="0"/>
    <n v="475"/>
    <n v="524"/>
    <d v="2025-09-02T00:00:00"/>
    <m/>
    <m/>
    <m/>
    <m/>
    <m/>
    <x v="0"/>
    <n v="0"/>
    <s v="Sem consumo"/>
    <s v="Sem consumo"/>
    <x v="2"/>
  </r>
  <r>
    <s v="1899585"/>
    <s v="CANULA VENOSA 36/46FR D.E"/>
    <n v="0"/>
    <n v="3"/>
    <n v="3"/>
    <n v="0"/>
    <n v="437.4320987648"/>
    <n v="475"/>
    <d v="2025-08-15T00:00:00"/>
    <m/>
    <m/>
    <m/>
    <m/>
    <m/>
    <x v="0"/>
    <n v="0"/>
    <s v="Sem consumo"/>
    <s v="Sem consumo"/>
    <x v="2"/>
  </r>
  <r>
    <s v="7451599"/>
    <s v="CANULA VENOSA 36/51FR D.E"/>
    <n v="8"/>
    <n v="10"/>
    <n v="2"/>
    <n v="0"/>
    <n v="405"/>
    <n v="405"/>
    <d v="2026-04-01T00:00:00"/>
    <m/>
    <m/>
    <m/>
    <m/>
    <m/>
    <x v="0"/>
    <n v="0"/>
    <s v="Sem consumo"/>
    <s v="Sem consumo"/>
    <x v="2"/>
  </r>
  <r>
    <s v="26911"/>
    <s v="CANULA VENOSA TRIPLO E. 28/36 FR"/>
    <n v="0"/>
    <n v="5"/>
    <n v="5"/>
    <n v="1"/>
    <n v="524"/>
    <n v="514"/>
    <d v="2025-12-09T00:00:00"/>
    <m/>
    <m/>
    <n v="0"/>
    <n v="3"/>
    <m/>
    <x v="0"/>
    <n v="1"/>
    <n v="4"/>
    <s v="Sem Alteração"/>
    <x v="3"/>
  </r>
  <r>
    <s v="23677"/>
    <s v="CARGA GRAMP END LINEAR 60MM - ROXO"/>
    <n v="107"/>
    <n v="115"/>
    <n v="8"/>
    <n v="2"/>
    <n v="3.7391304347999998"/>
    <n v="430"/>
    <d v="2026-03-24T00:00:00"/>
    <m/>
    <m/>
    <n v="53.5"/>
    <n v="6"/>
    <m/>
    <x v="0"/>
    <n v="2"/>
    <n v="0"/>
    <s v="Sem Alteração"/>
    <x v="0"/>
  </r>
  <r>
    <s v="6664"/>
    <s v="CARGA GRAMPEADOR LINEAR 100"/>
    <n v="6"/>
    <n v="10"/>
    <n v="4"/>
    <n v="0"/>
    <n v="169.35299999989999"/>
    <n v="150.85"/>
    <d v="2025-02-28T00:00:00"/>
    <m/>
    <m/>
    <m/>
    <m/>
    <m/>
    <x v="0"/>
    <n v="0"/>
    <s v="Sem consumo"/>
    <s v="Sem consumo"/>
    <x v="2"/>
  </r>
  <r>
    <s v="7452508"/>
    <s v="CARGA GRAMPEADOR LINEAR 75MM"/>
    <n v="63"/>
    <n v="68"/>
    <n v="5"/>
    <n v="2"/>
    <n v="246.64601032760001"/>
    <n v="205.39"/>
    <d v="2026-04-08T00:00:00"/>
    <m/>
    <m/>
    <n v="31.5"/>
    <n v="6"/>
    <m/>
    <x v="0"/>
    <n v="2"/>
    <n v="0"/>
    <s v="Sem Alteração"/>
    <x v="0"/>
  </r>
  <r>
    <s v="7453982"/>
    <s v="CAT  BALAO CORONARIO NC  5,5 X 20"/>
    <n v="0"/>
    <n v="5"/>
    <n v="5"/>
    <n v="0"/>
    <n v="200"/>
    <n v="200"/>
    <d v="2026-03-24T00:00:00"/>
    <m/>
    <m/>
    <m/>
    <m/>
    <m/>
    <x v="0"/>
    <n v="0"/>
    <s v="Sem consumo"/>
    <s v="Sem consumo"/>
    <x v="2"/>
  </r>
  <r>
    <s v="11345"/>
    <s v="CAT BALAO CORONARIO 1,20 X 6"/>
    <n v="0"/>
    <n v="0"/>
    <n v="0"/>
    <n v="1"/>
    <n v="194.75"/>
    <n v="190"/>
    <d v="2026-03-16T00:00:00"/>
    <m/>
    <m/>
    <n v="0"/>
    <n v="3"/>
    <m/>
    <x v="0"/>
    <n v="1"/>
    <n v="4"/>
    <s v="Sem Alteração"/>
    <x v="3"/>
  </r>
  <r>
    <s v="7450374"/>
    <s v="CAT BALAO CORONARIO 3,25 X 08"/>
    <n v="7"/>
    <n v="11"/>
    <n v="4"/>
    <n v="2"/>
    <n v="196.30172747899999"/>
    <n v="200"/>
    <d v="2026-04-29T00:00:00"/>
    <m/>
    <m/>
    <n v="3.5"/>
    <n v="6"/>
    <m/>
    <x v="0"/>
    <n v="2"/>
    <n v="0"/>
    <s v="Sem Alteração"/>
    <x v="0"/>
  </r>
  <r>
    <s v="1820162"/>
    <s v="CAT BALAO CORONARIO NC  1,5 X 6"/>
    <n v="0"/>
    <n v="0"/>
    <n v="0"/>
    <n v="0"/>
    <n v="210"/>
    <n v="200"/>
    <d v="2025-05-26T00:00:00"/>
    <m/>
    <m/>
    <m/>
    <m/>
    <m/>
    <x v="0"/>
    <n v="0"/>
    <s v="Sem consumo"/>
    <s v="Sem consumo"/>
    <x v="2"/>
  </r>
  <r>
    <s v="7453978"/>
    <s v="CAT BALAO CORONARIO NC  6,0 X 12"/>
    <n v="0"/>
    <n v="0"/>
    <n v="0"/>
    <n v="0"/>
    <n v="200"/>
    <n v="200"/>
    <d v="2026-01-09T00:00:00"/>
    <m/>
    <m/>
    <m/>
    <m/>
    <m/>
    <x v="0"/>
    <n v="0"/>
    <s v="Sem consumo"/>
    <s v="Sem consumo"/>
    <x v="2"/>
  </r>
  <r>
    <s v="7453979"/>
    <s v="CAT BALAO CORONARIO NC  6,0 X 20"/>
    <n v="0"/>
    <n v="4"/>
    <n v="4"/>
    <n v="0"/>
    <n v="200"/>
    <n v="200"/>
    <d v="2025-12-01T00:00:00"/>
    <m/>
    <m/>
    <m/>
    <m/>
    <m/>
    <x v="0"/>
    <n v="0"/>
    <s v="Sem consumo"/>
    <s v="Sem consumo"/>
    <x v="2"/>
  </r>
  <r>
    <s v="7453987"/>
    <s v="CAT BALAO CORONARIO NC 5,5 X 12"/>
    <n v="0"/>
    <n v="2"/>
    <n v="2"/>
    <n v="0"/>
    <n v="200"/>
    <n v="200"/>
    <d v="2025-12-01T00:00:00"/>
    <m/>
    <m/>
    <m/>
    <m/>
    <m/>
    <x v="0"/>
    <n v="0"/>
    <s v="Sem consumo"/>
    <s v="Sem consumo"/>
    <x v="2"/>
  </r>
  <r>
    <s v="7453988"/>
    <s v="CAT BALAO CORONARIO NC 5,5 X 15"/>
    <n v="0"/>
    <n v="4"/>
    <n v="4"/>
    <n v="0"/>
    <n v="200"/>
    <n v="200"/>
    <d v="2025-12-01T00:00:00"/>
    <m/>
    <m/>
    <m/>
    <m/>
    <m/>
    <x v="0"/>
    <n v="0"/>
    <s v="Sem consumo"/>
    <s v="Sem consumo"/>
    <x v="2"/>
  </r>
  <r>
    <s v="7453990"/>
    <s v="CAT BALAO CORONARIO NC 6,0X15"/>
    <n v="0"/>
    <n v="3"/>
    <n v="3"/>
    <n v="0"/>
    <n v="200"/>
    <n v="200"/>
    <d v="2025-12-01T00:00:00"/>
    <m/>
    <m/>
    <m/>
    <m/>
    <m/>
    <x v="0"/>
    <n v="0"/>
    <s v="Sem consumo"/>
    <s v="Sem consumo"/>
    <x v="2"/>
  </r>
  <r>
    <s v="74554409"/>
    <s v="CAT BALAO PERIFERICO 2,5 X 100 X 150"/>
    <n v="0"/>
    <n v="1"/>
    <n v="1"/>
    <n v="1"/>
    <n v="430"/>
    <n v="425"/>
    <d v="2026-04-27T00:00:00"/>
    <m/>
    <m/>
    <n v="0"/>
    <n v="3"/>
    <m/>
    <x v="0"/>
    <n v="1"/>
    <n v="4"/>
    <s v="Sem Alteração"/>
    <x v="3"/>
  </r>
  <r>
    <s v="7451420"/>
    <s v="CAT BALAO PERIFERICO 2,5 X 220 X 150"/>
    <n v="0"/>
    <n v="1"/>
    <n v="1"/>
    <n v="0"/>
    <n v="440"/>
    <n v="440"/>
    <d v="2025-07-16T00:00:00"/>
    <m/>
    <m/>
    <m/>
    <m/>
    <m/>
    <x v="0"/>
    <n v="0"/>
    <s v="Sem consumo"/>
    <s v="Sem consumo"/>
    <x v="2"/>
  </r>
  <r>
    <s v="1899497"/>
    <s v="CAT BALAO PERIFERICO 3,5 X 40 X 150"/>
    <n v="0"/>
    <n v="1"/>
    <n v="1"/>
    <n v="0"/>
    <n v="360"/>
    <n v="360"/>
    <d v="2025-11-21T00:00:00"/>
    <m/>
    <m/>
    <m/>
    <m/>
    <m/>
    <x v="0"/>
    <n v="0"/>
    <s v="Sem consumo"/>
    <s v="Sem consumo"/>
    <x v="2"/>
  </r>
  <r>
    <s v="7455433"/>
    <s v="CAT BALAO PERIFERICO 3.0 X 80 X 150"/>
    <n v="0"/>
    <n v="1"/>
    <n v="1"/>
    <n v="1"/>
    <n v="430"/>
    <n v="360"/>
    <d v="2026-04-13T00:00:00"/>
    <m/>
    <m/>
    <n v="0"/>
    <n v="3"/>
    <m/>
    <x v="0"/>
    <n v="1"/>
    <n v="4"/>
    <s v="Sem Alteração"/>
    <x v="3"/>
  </r>
  <r>
    <s v="1821185"/>
    <s v="CAT BALAO PERIFERICO 4 X 80 X 150"/>
    <n v="0"/>
    <n v="0"/>
    <n v="0"/>
    <n v="0"/>
    <n v="360"/>
    <n v="360"/>
    <d v="2025-10-20T00:00:00"/>
    <m/>
    <m/>
    <m/>
    <m/>
    <m/>
    <x v="0"/>
    <n v="0"/>
    <s v="Sem consumo"/>
    <s v="Sem consumo"/>
    <x v="2"/>
  </r>
  <r>
    <s v="7450316"/>
    <s v="CAT BALAO PERIFERICO 5,5 X 100 X 150"/>
    <n v="2"/>
    <n v="2"/>
    <n v="0"/>
    <n v="0"/>
    <n v="425"/>
    <n v="425"/>
    <d v="2026-04-23T00:00:00"/>
    <m/>
    <m/>
    <m/>
    <m/>
    <m/>
    <x v="0"/>
    <n v="0"/>
    <s v="Sem consumo"/>
    <s v="Sem consumo"/>
    <x v="2"/>
  </r>
  <r>
    <s v="1820219"/>
    <s v="CAT BALAO PERIFERICO 7 X 80 X 75"/>
    <n v="2"/>
    <n v="3"/>
    <n v="1"/>
    <n v="2"/>
    <n v="748.98200541100005"/>
    <n v="890"/>
    <d v="2026-04-29T00:00:00"/>
    <m/>
    <m/>
    <n v="1"/>
    <n v="6"/>
    <m/>
    <x v="0"/>
    <n v="2"/>
    <n v="6"/>
    <s v="Sem Alteração"/>
    <x v="1"/>
  </r>
  <r>
    <s v="1820194"/>
    <s v="CAT BALAO PERIFERICO 8 X 20 X 130"/>
    <n v="0"/>
    <n v="0"/>
    <n v="0"/>
    <n v="0"/>
    <n v="2095.9250000000002"/>
    <n v="360"/>
    <d v="2026-04-22T00:00:00"/>
    <m/>
    <m/>
    <m/>
    <m/>
    <m/>
    <x v="0"/>
    <n v="0"/>
    <s v="Sem consumo"/>
    <s v="Sem consumo"/>
    <x v="2"/>
  </r>
  <r>
    <s v="1821982"/>
    <s v="CAT BALAO PERIFERICO 9 X 20 X 130"/>
    <n v="0"/>
    <n v="0"/>
    <n v="0"/>
    <n v="0"/>
    <n v="440"/>
    <n v="610"/>
    <d v="2025-11-17T00:00:00"/>
    <m/>
    <m/>
    <m/>
    <m/>
    <m/>
    <x v="0"/>
    <n v="0"/>
    <s v="Sem consumo"/>
    <s v="Sem consumo"/>
    <x v="2"/>
  </r>
  <r>
    <s v="11742"/>
    <s v="CAT DIAGNOSTICO AL1 5 FR 100CM"/>
    <n v="154"/>
    <n v="171"/>
    <n v="17"/>
    <n v="26"/>
    <n v="34.211164981700001"/>
    <n v="28.82"/>
    <d v="2026-02-20T00:00:00"/>
    <m/>
    <m/>
    <n v="5.9"/>
    <n v="78"/>
    <m/>
    <x v="0"/>
    <n v="26"/>
    <n v="0"/>
    <s v="Sem Alteração"/>
    <x v="0"/>
  </r>
  <r>
    <s v="1820983"/>
    <s v="CAT DIAGNOSTICO AL1 6F X 100CM"/>
    <n v="30"/>
    <n v="30"/>
    <n v="0"/>
    <n v="0"/>
    <n v="28.13"/>
    <n v="28.13"/>
    <d v="2025-04-23T00:00:00"/>
    <m/>
    <m/>
    <m/>
    <m/>
    <m/>
    <x v="0"/>
    <n v="0"/>
    <s v="Sem consumo"/>
    <s v="Sem consumo"/>
    <x v="2"/>
  </r>
  <r>
    <s v="10915"/>
    <s v="CAT DIAGNOSTICO AL2 5FR 100CM"/>
    <n v="54"/>
    <n v="71"/>
    <n v="17"/>
    <n v="3"/>
    <n v="22.3774450927"/>
    <n v="21.22"/>
    <d v="2026-02-12T00:00:00"/>
    <m/>
    <m/>
    <n v="18"/>
    <n v="9"/>
    <m/>
    <x v="0"/>
    <n v="3"/>
    <n v="0"/>
    <s v="Sem Alteração"/>
    <x v="0"/>
  </r>
  <r>
    <s v="11849"/>
    <s v="CAT DIAGNOSTICO AL3 5FR 100CM"/>
    <n v="2"/>
    <n v="12"/>
    <n v="10"/>
    <n v="0"/>
    <n v="61.695530750800003"/>
    <n v="64.349999999999994"/>
    <d v="2024-11-21T00:00:00"/>
    <m/>
    <m/>
    <m/>
    <m/>
    <m/>
    <x v="0"/>
    <n v="0"/>
    <s v="Sem consumo"/>
    <s v="Sem consumo"/>
    <x v="2"/>
  </r>
  <r>
    <s v="1821057"/>
    <s v="CAT DIAGNOSTICO AR1 5FR 100CM"/>
    <n v="18"/>
    <n v="33"/>
    <n v="15"/>
    <n v="3"/>
    <n v="29.313117034899999"/>
    <n v="30"/>
    <d v="2026-02-09T00:00:00"/>
    <m/>
    <m/>
    <n v="6"/>
    <n v="9"/>
    <m/>
    <x v="0"/>
    <n v="3"/>
    <n v="0"/>
    <s v="Sem Alteração"/>
    <x v="0"/>
  </r>
  <r>
    <s v="11853"/>
    <s v="CAT DIAGNOSTICO AR1 6F 100CM"/>
    <n v="2"/>
    <n v="2"/>
    <n v="0"/>
    <n v="0"/>
    <n v="34.880000000800003"/>
    <n v="34.880000000000003"/>
    <d v="2024-02-28T00:00:00"/>
    <m/>
    <m/>
    <m/>
    <m/>
    <m/>
    <x v="0"/>
    <n v="0"/>
    <s v="Sem consumo"/>
    <s v="Sem consumo"/>
    <x v="2"/>
  </r>
  <r>
    <s v="1821058"/>
    <s v="CAT DIAGNOSTICO AR2 5FR 100CM"/>
    <n v="62"/>
    <n v="79"/>
    <n v="17"/>
    <n v="18"/>
    <n v="31.0191088674"/>
    <n v="29.27"/>
    <d v="2026-02-12T00:00:00"/>
    <m/>
    <m/>
    <n v="3.4"/>
    <n v="54"/>
    <m/>
    <x v="0"/>
    <n v="18"/>
    <n v="0"/>
    <s v="Sem Alteração"/>
    <x v="0"/>
  </r>
  <r>
    <s v="1821059"/>
    <s v="CAT DIAGNOSTICO AR3 5F 100CM"/>
    <n v="0"/>
    <n v="0"/>
    <n v="0"/>
    <n v="0"/>
    <n v="39.61"/>
    <n v="38"/>
    <d v="2022-07-04T00:00:00"/>
    <m/>
    <m/>
    <m/>
    <m/>
    <m/>
    <x v="0"/>
    <n v="0"/>
    <s v="Sem consumo"/>
    <s v="Sem consumo"/>
    <x v="2"/>
  </r>
  <r>
    <s v="1820283"/>
    <s v="CAT DIAGNOSTICO COBRA 2 5FR"/>
    <n v="23"/>
    <n v="30"/>
    <n v="7"/>
    <n v="3"/>
    <n v="76.771626485499993"/>
    <n v="76.790000000000006"/>
    <d v="2026-03-24T00:00:00"/>
    <m/>
    <m/>
    <n v="7.7"/>
    <n v="9"/>
    <m/>
    <x v="0"/>
    <n v="3"/>
    <n v="0"/>
    <s v="Sem Alteração"/>
    <x v="0"/>
  </r>
  <r>
    <s v="7450325"/>
    <s v="CAT DIAGNOSTICO HEADHUNTER 1 5F 100CM"/>
    <n v="11"/>
    <n v="15"/>
    <n v="4"/>
    <n v="1"/>
    <n v="77.926081404399994"/>
    <n v="80"/>
    <d v="2025-10-22T00:00:00"/>
    <m/>
    <m/>
    <n v="11"/>
    <n v="3"/>
    <m/>
    <x v="0"/>
    <n v="1"/>
    <n v="0"/>
    <s v="Sem Alteração"/>
    <x v="0"/>
  </r>
  <r>
    <s v="11890"/>
    <s v="CAT DIAGNOSTICO IM 6F"/>
    <n v="10"/>
    <n v="10"/>
    <n v="0"/>
    <n v="0"/>
    <n v="34.15"/>
    <n v="34.15"/>
    <d v="2025-06-12T00:00:00"/>
    <m/>
    <m/>
    <m/>
    <m/>
    <m/>
    <x v="0"/>
    <n v="0"/>
    <s v="Sem consumo"/>
    <s v="Sem consumo"/>
    <x v="2"/>
  </r>
  <r>
    <s v="1820251"/>
    <s v="CAT DIAGNOSTICO IMA 5F 100CM"/>
    <n v="105"/>
    <n v="140"/>
    <n v="35"/>
    <n v="38"/>
    <n v="41.847919028500002"/>
    <n v="27.86"/>
    <d v="2025-12-03T00:00:00"/>
    <m/>
    <m/>
    <n v="2.8"/>
    <n v="114"/>
    <m/>
    <x v="0"/>
    <n v="38"/>
    <n v="46"/>
    <s v="Sem Alteração"/>
    <x v="1"/>
  </r>
  <r>
    <s v="10939"/>
    <s v="CAT DIAGNOSTICO JL 3,5 5F 100CM"/>
    <n v="865"/>
    <n v="952"/>
    <n v="87"/>
    <n v="388"/>
    <n v="43.186550618600002"/>
    <n v="27.88"/>
    <d v="2026-02-19T00:00:00"/>
    <s v="2026-05"/>
    <n v="30"/>
    <n v="2.2000000000000002"/>
    <n v="1164"/>
    <n v="7.7319587628865982E-2"/>
    <x v="0"/>
    <n v="388"/>
    <n v="699"/>
    <s v="Sem Alteração"/>
    <x v="1"/>
  </r>
  <r>
    <s v="1822531"/>
    <s v="CAT DIAGNOSTICO JL 4 5FR 100CM"/>
    <n v="310"/>
    <n v="366"/>
    <n v="56"/>
    <n v="35"/>
    <n v="38.4681507612"/>
    <n v="30.58"/>
    <d v="2025-12-09T00:00:00"/>
    <s v="2026-05"/>
    <n v="5"/>
    <n v="8.9"/>
    <n v="105"/>
    <n v="0.14285714285714285"/>
    <x v="0"/>
    <n v="35"/>
    <n v="0"/>
    <s v="Sem Alteração"/>
    <x v="0"/>
  </r>
  <r>
    <s v="7455284"/>
    <s v="CAT DIAGNOSTICO JL 4,5 5FR"/>
    <n v="0"/>
    <n v="3"/>
    <n v="3"/>
    <n v="0"/>
    <n v="38.99"/>
    <n v="38.99"/>
    <d v="2024-06-26T00:00:00"/>
    <m/>
    <m/>
    <m/>
    <m/>
    <m/>
    <x v="0"/>
    <n v="0"/>
    <s v="Sem consumo"/>
    <s v="Sem consumo"/>
    <x v="2"/>
  </r>
  <r>
    <s v="7453657"/>
    <s v="CAT DIAGNOSTICO JL 5 5FR 100CM"/>
    <n v="36"/>
    <n v="43"/>
    <n v="7"/>
    <n v="2"/>
    <n v="68.554085955700003"/>
    <n v="69.33"/>
    <d v="2025-10-17T00:00:00"/>
    <m/>
    <m/>
    <n v="18"/>
    <n v="6"/>
    <m/>
    <x v="0"/>
    <n v="2"/>
    <n v="0"/>
    <s v="Sem Alteração"/>
    <x v="0"/>
  </r>
  <r>
    <s v="11683"/>
    <s v="CAT DIAGNOSTICO JR 3,5 5F 100CM"/>
    <n v="752"/>
    <n v="1034"/>
    <n v="282"/>
    <n v="41"/>
    <n v="33.124767132800002"/>
    <n v="30.85"/>
    <d v="2025-07-03T00:00:00"/>
    <m/>
    <m/>
    <n v="18.3"/>
    <n v="123"/>
    <m/>
    <x v="0"/>
    <n v="41"/>
    <n v="0"/>
    <s v="Sem Alteração"/>
    <x v="0"/>
  </r>
  <r>
    <s v="11411"/>
    <s v="CAT DIAGNOSTICO JR 3,5 6FR"/>
    <n v="0"/>
    <n v="2"/>
    <n v="2"/>
    <n v="0"/>
    <n v="54.959999999399997"/>
    <n v="34.880000000000003"/>
    <d v="2023-11-03T00:00:00"/>
    <m/>
    <m/>
    <m/>
    <m/>
    <m/>
    <x v="0"/>
    <n v="0"/>
    <s v="Sem consumo"/>
    <s v="Sem consumo"/>
    <x v="2"/>
  </r>
  <r>
    <s v="11685"/>
    <s v="CAT DIAGNOSTICO JR 4 5F 100CM"/>
    <n v="944"/>
    <n v="1030"/>
    <n v="86"/>
    <n v="357"/>
    <n v="27.845712111400001"/>
    <n v="27.87"/>
    <d v="2026-04-16T00:00:00"/>
    <s v="2026-05"/>
    <n v="40"/>
    <n v="2.6"/>
    <n v="1071"/>
    <n v="0.11204481792717087"/>
    <x v="0"/>
    <n v="357"/>
    <n v="500"/>
    <s v="Sem Alteração"/>
    <x v="1"/>
  </r>
  <r>
    <s v="1820412"/>
    <s v="CAT DIAGNOSTICO MP 5FR"/>
    <n v="63"/>
    <n v="79"/>
    <n v="16"/>
    <n v="14"/>
    <n v="44.991021309099999"/>
    <n v="28.84"/>
    <d v="2025-12-03T00:00:00"/>
    <m/>
    <m/>
    <n v="4.5"/>
    <n v="42"/>
    <m/>
    <x v="0"/>
    <n v="14"/>
    <n v="0"/>
    <s v="Sem Alteração"/>
    <x v="0"/>
  </r>
  <r>
    <s v="10804"/>
    <s v="CAT DIAGNOSTICO PIGTAIL 5F 110CM"/>
    <n v="333"/>
    <n v="363"/>
    <n v="30"/>
    <n v="72"/>
    <n v="31.177410866900001"/>
    <n v="27.8"/>
    <d v="2026-04-27T00:00:00"/>
    <s v="2026-05"/>
    <n v="5"/>
    <n v="4.5999999999999996"/>
    <n v="216"/>
    <n v="6.9444444444444448E-2"/>
    <x v="0"/>
    <n v="72"/>
    <n v="0"/>
    <s v="Sem Alteração"/>
    <x v="0"/>
  </r>
  <r>
    <s v="11389"/>
    <s v="CAT DIAGNOSTICO SIMMON 3 5FR 80CM"/>
    <n v="0"/>
    <n v="0"/>
    <n v="0"/>
    <n v="0"/>
    <n v="73"/>
    <n v="73"/>
    <d v="2023-08-02T00:00:00"/>
    <m/>
    <m/>
    <m/>
    <m/>
    <m/>
    <x v="0"/>
    <n v="0"/>
    <s v="Sem consumo"/>
    <s v="Sem consumo"/>
    <x v="2"/>
  </r>
  <r>
    <s v="1821338"/>
    <s v="CAT DIAGNOSTICO SIMMONS 1 5FR"/>
    <n v="0"/>
    <n v="0"/>
    <n v="0"/>
    <n v="0"/>
    <n v="87.479286879900002"/>
    <n v="90.09"/>
    <d v="2025-06-26T00:00:00"/>
    <m/>
    <m/>
    <m/>
    <m/>
    <m/>
    <x v="0"/>
    <n v="0"/>
    <s v="Sem consumo"/>
    <s v="Sem consumo"/>
    <x v="2"/>
  </r>
  <r>
    <s v="1821337"/>
    <s v="CAT DIAGNOSTICO SIMMONS 2 5FR"/>
    <n v="36"/>
    <n v="43"/>
    <n v="7"/>
    <n v="1"/>
    <n v="38.373923408499998"/>
    <n v="28.61"/>
    <d v="2025-11-21T00:00:00"/>
    <m/>
    <m/>
    <n v="36"/>
    <n v="3"/>
    <m/>
    <x v="0"/>
    <n v="1"/>
    <n v="0"/>
    <s v="Sem Alteração"/>
    <x v="0"/>
  </r>
  <r>
    <s v="7452872"/>
    <s v="CAT DIAGNOSTICO VERTEBRAL 5FR"/>
    <n v="160"/>
    <n v="179"/>
    <n v="19"/>
    <n v="65"/>
    <n v="45.403411410700002"/>
    <n v="39.31"/>
    <d v="2026-03-03T00:00:00"/>
    <m/>
    <m/>
    <n v="2.5"/>
    <n v="195"/>
    <m/>
    <x v="0"/>
    <n v="65"/>
    <n v="98"/>
    <s v="Sem Alteração"/>
    <x v="1"/>
  </r>
  <r>
    <s v="27004"/>
    <s v="CAT DUPLO (PERMICATH) 10F X 24CM"/>
    <n v="1"/>
    <n v="1"/>
    <n v="0"/>
    <n v="0"/>
    <n v="2295"/>
    <n v="2295"/>
    <d v="2025-11-26T00:00:00"/>
    <m/>
    <m/>
    <m/>
    <m/>
    <m/>
    <x v="0"/>
    <n v="0"/>
    <s v="Sem consumo"/>
    <s v="Sem consumo"/>
    <x v="2"/>
  </r>
  <r>
    <s v="7452148"/>
    <s v="CAT DUPLO (PERMICATH) 14,5FR X 19"/>
    <n v="30"/>
    <n v="35"/>
    <n v="5"/>
    <n v="6"/>
    <n v="796.11347906410003"/>
    <n v="1100"/>
    <d v="2026-04-23T00:00:00"/>
    <m/>
    <m/>
    <n v="5"/>
    <n v="18"/>
    <m/>
    <x v="0"/>
    <n v="6"/>
    <n v="0"/>
    <s v="Sem Alteração"/>
    <x v="0"/>
  </r>
  <r>
    <s v="22080"/>
    <s v="CAT DUPLO (PERMICATH) 14,5FR X 23"/>
    <n v="29"/>
    <n v="34"/>
    <n v="5"/>
    <n v="4"/>
    <n v="999.39771224959998"/>
    <n v="1100"/>
    <d v="2026-04-15T00:00:00"/>
    <m/>
    <m/>
    <n v="7.2"/>
    <n v="12"/>
    <m/>
    <x v="0"/>
    <n v="4"/>
    <n v="0"/>
    <s v="Sem Alteração"/>
    <x v="0"/>
  </r>
  <r>
    <s v="1821588"/>
    <s v="CAT DUPLO (PERMICATH) 14,5FR X 27"/>
    <n v="10"/>
    <n v="13"/>
    <n v="3"/>
    <n v="1"/>
    <n v="922.60858100229996"/>
    <n v="1100"/>
    <d v="2026-04-23T00:00:00"/>
    <m/>
    <m/>
    <n v="10"/>
    <n v="3"/>
    <m/>
    <x v="0"/>
    <n v="1"/>
    <n v="0"/>
    <s v="Sem Alteração"/>
    <x v="0"/>
  </r>
  <r>
    <s v="7451003"/>
    <s v="CAT DUPLO (PERMICATH) 14,5FR X 31"/>
    <n v="15"/>
    <n v="19"/>
    <n v="4"/>
    <n v="1"/>
    <n v="796.805155689"/>
    <n v="719.5"/>
    <d v="2026-04-20T00:00:00"/>
    <m/>
    <m/>
    <n v="15"/>
    <n v="3"/>
    <m/>
    <x v="0"/>
    <n v="1"/>
    <n v="0"/>
    <s v="Sem Alteração"/>
    <x v="0"/>
  </r>
  <r>
    <s v="1821067"/>
    <s v="CAT DUPLO (PERMICATH) 14,5FR X 35"/>
    <n v="11"/>
    <n v="14"/>
    <n v="3"/>
    <n v="3"/>
    <n v="1036.5090342209"/>
    <n v="1100"/>
    <d v="2026-04-23T00:00:00"/>
    <m/>
    <m/>
    <n v="3.7"/>
    <n v="9"/>
    <m/>
    <x v="0"/>
    <n v="3"/>
    <n v="0"/>
    <s v="Sem Alteração"/>
    <x v="0"/>
  </r>
  <r>
    <s v="1899532"/>
    <s v="CAT DUPLO (PERMICATH) 14,5FR X 55"/>
    <n v="6"/>
    <n v="8"/>
    <n v="2"/>
    <n v="1"/>
    <n v="1400"/>
    <n v="1400"/>
    <d v="2024-07-03T00:00:00"/>
    <m/>
    <m/>
    <n v="6"/>
    <n v="3"/>
    <m/>
    <x v="0"/>
    <n v="1"/>
    <n v="0"/>
    <s v="Sem Alteração"/>
    <x v="0"/>
  </r>
  <r>
    <s v="25519"/>
    <s v="CAT DUPLO LUMEN P/ HD 12FR X 15CM"/>
    <n v="16"/>
    <n v="23"/>
    <n v="7"/>
    <n v="4"/>
    <n v="74.030787075899994"/>
    <n v="79.59"/>
    <d v="2025-10-15T00:00:00"/>
    <m/>
    <m/>
    <n v="4"/>
    <n v="12"/>
    <m/>
    <x v="0"/>
    <n v="4"/>
    <n v="0"/>
    <s v="Sem Alteração"/>
    <x v="0"/>
  </r>
  <r>
    <s v="10452"/>
    <s v="CAT DUPLO LUMEN P/HEMOD 12FR X 20CM"/>
    <n v="24"/>
    <n v="40"/>
    <n v="16"/>
    <n v="6"/>
    <n v="81.458423631599999"/>
    <n v="87.73"/>
    <d v="2025-12-09T00:00:00"/>
    <m/>
    <m/>
    <n v="4"/>
    <n v="18"/>
    <m/>
    <x v="0"/>
    <n v="6"/>
    <n v="0"/>
    <s v="Sem Alteração"/>
    <x v="0"/>
  </r>
  <r>
    <s v="7452135"/>
    <s v="CAT DUPLO LUMEN P/HEMOD 8,5 FR X 13"/>
    <n v="16"/>
    <n v="25"/>
    <n v="9"/>
    <n v="3"/>
    <n v="163.34071074299999"/>
    <n v="166.23"/>
    <d v="2026-04-27T00:00:00"/>
    <m/>
    <m/>
    <n v="5.3"/>
    <n v="9"/>
    <m/>
    <x v="0"/>
    <n v="3"/>
    <n v="0"/>
    <s v="Sem Alteração"/>
    <x v="0"/>
  </r>
  <r>
    <s v="1821955"/>
    <s v="CAT GUIA AL1 6FR"/>
    <n v="33"/>
    <n v="46"/>
    <n v="13"/>
    <n v="13"/>
    <n v="119.613417989"/>
    <n v="108.49"/>
    <d v="2025-12-03T00:00:00"/>
    <m/>
    <m/>
    <n v="2.5"/>
    <n v="39"/>
    <m/>
    <x v="0"/>
    <n v="13"/>
    <n v="20"/>
    <s v="Sem Alteração"/>
    <x v="1"/>
  </r>
  <r>
    <s v="11071"/>
    <s v="CAT GUIA AL1 7FR"/>
    <n v="18"/>
    <n v="26"/>
    <n v="8"/>
    <n v="1"/>
    <n v="152.83296243039999"/>
    <n v="110.47"/>
    <d v="2025-10-14T00:00:00"/>
    <m/>
    <m/>
    <n v="18"/>
    <n v="3"/>
    <m/>
    <x v="0"/>
    <n v="1"/>
    <n v="0"/>
    <s v="Sem Alteração"/>
    <x v="0"/>
  </r>
  <r>
    <s v="7452379"/>
    <s v="CAT GUIA AL2 6FR"/>
    <n v="14"/>
    <n v="24"/>
    <n v="10"/>
    <n v="3"/>
    <n v="115.5590906831"/>
    <n v="106.36"/>
    <d v="2025-11-28T00:00:00"/>
    <s v="2026-05"/>
    <n v="1"/>
    <n v="4.7"/>
    <n v="9"/>
    <n v="0.33333333333333331"/>
    <x v="0"/>
    <n v="3"/>
    <n v="0"/>
    <s v="Sem Alteração"/>
    <x v="0"/>
  </r>
  <r>
    <s v="1822012"/>
    <s v="CAT GUIA AL2 7F"/>
    <n v="10"/>
    <n v="17"/>
    <n v="7"/>
    <n v="0"/>
    <n v="108.349600581"/>
    <n v="113.42"/>
    <d v="2025-09-19T00:00:00"/>
    <m/>
    <m/>
    <m/>
    <m/>
    <m/>
    <x v="0"/>
    <n v="0"/>
    <s v="Sem consumo"/>
    <s v="Sem consumo"/>
    <x v="2"/>
  </r>
  <r>
    <s v="1821181"/>
    <s v="CAT GUIA AR1 6FR"/>
    <n v="25"/>
    <n v="35"/>
    <n v="10"/>
    <n v="3"/>
    <n v="129.59320218030001"/>
    <n v="109.99"/>
    <d v="2025-07-04T00:00:00"/>
    <s v="2026-05"/>
    <n v="1"/>
    <n v="8.3000000000000007"/>
    <n v="9"/>
    <n v="0.33333333333333331"/>
    <x v="0"/>
    <n v="3"/>
    <n v="0"/>
    <s v="Sem Alteração"/>
    <x v="0"/>
  </r>
  <r>
    <s v="1823227"/>
    <s v="CAT GUIA AR2 6FR"/>
    <n v="82"/>
    <n v="92"/>
    <n v="10"/>
    <n v="15"/>
    <n v="107.0630883021"/>
    <n v="102.9"/>
    <d v="2026-04-27T00:00:00"/>
    <s v="2026-05"/>
    <n v="2"/>
    <n v="5.5"/>
    <n v="45"/>
    <n v="0.13333333333333333"/>
    <x v="0"/>
    <n v="15"/>
    <n v="0"/>
    <s v="Sem Alteração"/>
    <x v="0"/>
  </r>
  <r>
    <s v="11806"/>
    <s v="CAT GUIA EBU 3,5 6F"/>
    <n v="637"/>
    <n v="670"/>
    <n v="33"/>
    <n v="129"/>
    <n v="115.8176288611"/>
    <n v="108"/>
    <d v="2026-04-27T00:00:00"/>
    <m/>
    <m/>
    <n v="4.9000000000000004"/>
    <n v="387"/>
    <m/>
    <x v="0"/>
    <n v="129"/>
    <n v="0"/>
    <s v="Sem Alteração"/>
    <x v="0"/>
  </r>
  <r>
    <s v="1823321"/>
    <s v="CAT GUIA EBU 3,5 7FR"/>
    <n v="83"/>
    <n v="90"/>
    <n v="7"/>
    <n v="17"/>
    <n v="112.43354600719999"/>
    <n v="108"/>
    <d v="2026-03-24T00:00:00"/>
    <m/>
    <m/>
    <n v="4.9000000000000004"/>
    <n v="51"/>
    <m/>
    <x v="0"/>
    <n v="17"/>
    <n v="0"/>
    <s v="Sem Alteração"/>
    <x v="0"/>
  </r>
  <r>
    <s v="1821052"/>
    <s v="CAT GUIA EBU 4 6F"/>
    <n v="47"/>
    <n v="64"/>
    <n v="17"/>
    <n v="10"/>
    <n v="114.91505073410001"/>
    <n v="110.01"/>
    <d v="2025-08-21T00:00:00"/>
    <m/>
    <m/>
    <n v="4.7"/>
    <n v="30"/>
    <m/>
    <x v="0"/>
    <n v="10"/>
    <n v="0"/>
    <s v="Sem Alteração"/>
    <x v="0"/>
  </r>
  <r>
    <s v="1820493"/>
    <s v="CAT GUIA IMA 6FR 100CM"/>
    <n v="57"/>
    <n v="68"/>
    <n v="11"/>
    <n v="16"/>
    <n v="135"/>
    <n v="135"/>
    <d v="2026-02-27T00:00:00"/>
    <m/>
    <m/>
    <n v="3.6"/>
    <n v="48"/>
    <m/>
    <x v="0"/>
    <n v="16"/>
    <n v="0"/>
    <s v="Sem Alteração"/>
    <x v="0"/>
  </r>
  <r>
    <s v="1821129"/>
    <s v="CAT GUIA JL 3,5 6FR 100CM"/>
    <n v="68"/>
    <n v="88"/>
    <n v="20"/>
    <n v="15"/>
    <n v="120.88273385070001"/>
    <n v="101.89"/>
    <d v="2026-03-03T00:00:00"/>
    <m/>
    <m/>
    <n v="4.5"/>
    <n v="45"/>
    <m/>
    <x v="0"/>
    <n v="15"/>
    <n v="0"/>
    <s v="Sem Alteração"/>
    <x v="0"/>
  </r>
  <r>
    <s v="7450651"/>
    <s v="CAT GUIA JL 4 6FR"/>
    <n v="26"/>
    <n v="38"/>
    <n v="12"/>
    <n v="3"/>
    <n v="122.23335968390001"/>
    <n v="101.89"/>
    <d v="2026-04-27T00:00:00"/>
    <s v="2026-05"/>
    <n v="5"/>
    <n v="8.6999999999999993"/>
    <n v="9"/>
    <n v="1.6666666666666667"/>
    <x v="1"/>
    <n v="16"/>
    <n v="0"/>
    <n v="0"/>
    <x v="0"/>
  </r>
  <r>
    <s v="7452907"/>
    <s v="CAT GUIA JL 4 7FR"/>
    <n v="10"/>
    <n v="23"/>
    <n v="13"/>
    <n v="1"/>
    <n v="142.09022700369999"/>
    <n v="134.99"/>
    <d v="2025-09-19T00:00:00"/>
    <m/>
    <m/>
    <n v="10"/>
    <n v="3"/>
    <m/>
    <x v="0"/>
    <n v="1"/>
    <n v="0"/>
    <s v="Sem Alteração"/>
    <x v="0"/>
  </r>
  <r>
    <s v="7450652"/>
    <s v="CAT GUIA JR 3,5 6FR"/>
    <n v="213"/>
    <n v="230"/>
    <n v="17"/>
    <n v="46"/>
    <n v="107.7564747638"/>
    <n v="101.89"/>
    <d v="2026-04-23T00:00:00"/>
    <m/>
    <m/>
    <n v="4.5999999999999996"/>
    <n v="138"/>
    <m/>
    <x v="0"/>
    <n v="46"/>
    <n v="0"/>
    <s v="Sem Alteração"/>
    <x v="0"/>
  </r>
  <r>
    <s v="1823320"/>
    <s v="CAT GUIA JR 3,5 7FR"/>
    <n v="20"/>
    <n v="35"/>
    <n v="15"/>
    <n v="0"/>
    <n v="134.32345608529999"/>
    <n v="108"/>
    <d v="2026-02-12T00:00:00"/>
    <m/>
    <m/>
    <m/>
    <m/>
    <m/>
    <x v="0"/>
    <n v="0"/>
    <s v="Sem consumo"/>
    <s v="Sem consumo"/>
    <x v="2"/>
  </r>
  <r>
    <s v="1821126"/>
    <s v="CAT GUIA JR 4 6FR"/>
    <n v="87"/>
    <n v="103"/>
    <n v="16"/>
    <n v="7"/>
    <n v="109.50863757099999"/>
    <n v="109.35"/>
    <d v="2025-11-17T00:00:00"/>
    <m/>
    <m/>
    <n v="12.4"/>
    <n v="21"/>
    <m/>
    <x v="0"/>
    <n v="7"/>
    <n v="0"/>
    <s v="Sem Alteração"/>
    <x v="0"/>
  </r>
  <r>
    <s v="1821050"/>
    <s v="CAT GUIA LCB 6FR 100CM"/>
    <n v="5"/>
    <n v="8"/>
    <n v="3"/>
    <n v="0"/>
    <n v="110"/>
    <n v="110"/>
    <d v="2024-09-16T00:00:00"/>
    <m/>
    <m/>
    <m/>
    <m/>
    <m/>
    <x v="0"/>
    <n v="0"/>
    <s v="Sem consumo"/>
    <s v="Sem consumo"/>
    <x v="2"/>
  </r>
  <r>
    <s v="22992"/>
    <s v="CAT GUIA MP1 6FR"/>
    <n v="16"/>
    <n v="29"/>
    <n v="13"/>
    <n v="2"/>
    <n v="100.18457039650001"/>
    <n v="105"/>
    <d v="2026-02-09T00:00:00"/>
    <m/>
    <m/>
    <n v="8"/>
    <n v="6"/>
    <m/>
    <x v="0"/>
    <n v="2"/>
    <n v="0"/>
    <s v="Sem Alteração"/>
    <x v="0"/>
  </r>
  <r>
    <s v="7452393"/>
    <s v="CAT GUIA MP1 7FR"/>
    <n v="15"/>
    <n v="23"/>
    <n v="8"/>
    <n v="0"/>
    <n v="202.20554614470001"/>
    <n v="213"/>
    <d v="2025-03-18T00:00:00"/>
    <m/>
    <m/>
    <m/>
    <m/>
    <m/>
    <x v="0"/>
    <n v="0"/>
    <s v="Sem consumo"/>
    <s v="Sem consumo"/>
    <x v="2"/>
  </r>
  <r>
    <s v="1820490"/>
    <s v="CAT GUIA MP2 6FR"/>
    <n v="0"/>
    <n v="0"/>
    <n v="0"/>
    <n v="0"/>
    <n v="154"/>
    <n v="154"/>
    <d v="2023-11-14T00:00:00"/>
    <m/>
    <m/>
    <m/>
    <m/>
    <m/>
    <x v="0"/>
    <n v="0"/>
    <s v="Sem consumo"/>
    <s v="Sem consumo"/>
    <x v="2"/>
  </r>
  <r>
    <s v="8171"/>
    <s v="CAT GUIA MP2 7FR"/>
    <n v="0"/>
    <n v="0"/>
    <n v="0"/>
    <n v="0"/>
    <n v="154.0000000002"/>
    <n v="154"/>
    <d v="2023-11-08T00:00:00"/>
    <m/>
    <m/>
    <m/>
    <m/>
    <m/>
    <x v="0"/>
    <n v="0"/>
    <s v="Sem consumo"/>
    <s v="Sem consumo"/>
    <x v="2"/>
  </r>
  <r>
    <s v="7451590"/>
    <s v="CAT GUIA RCB 6FR"/>
    <n v="10"/>
    <n v="10"/>
    <n v="0"/>
    <n v="0"/>
    <n v="135"/>
    <n v="135"/>
    <d v="2026-02-11T00:00:00"/>
    <m/>
    <m/>
    <m/>
    <m/>
    <m/>
    <x v="0"/>
    <n v="0"/>
    <s v="Sem consumo"/>
    <s v="Sem consumo"/>
    <x v="2"/>
  </r>
  <r>
    <s v="7452141"/>
    <s v="CAT P/ DIALISE PERIT (TENCKHOFF) 31CM"/>
    <n v="40"/>
    <n v="47"/>
    <n v="7"/>
    <n v="3"/>
    <n v="392.8533411711"/>
    <n v="220"/>
    <d v="2026-04-10T00:00:00"/>
    <m/>
    <m/>
    <n v="13.3"/>
    <n v="9"/>
    <m/>
    <x v="0"/>
    <n v="3"/>
    <n v="0"/>
    <s v="Sem Alteração"/>
    <x v="0"/>
  </r>
  <r>
    <s v="1209"/>
    <s v="CAT P/ DIALISE PERIT (TENCKHOFF) 37CM"/>
    <n v="2"/>
    <n v="4"/>
    <n v="2"/>
    <n v="0"/>
    <n v="243.0563662452"/>
    <n v="280"/>
    <d v="2022-04-18T00:00:00"/>
    <m/>
    <m/>
    <m/>
    <m/>
    <m/>
    <x v="0"/>
    <n v="0"/>
    <s v="Sem consumo"/>
    <s v="Sem consumo"/>
    <x v="2"/>
  </r>
  <r>
    <s v="1821888"/>
    <s v="CAT P/ DIALISE PERIT (TENCKHOFF) 42CM"/>
    <n v="80"/>
    <n v="93"/>
    <n v="13"/>
    <n v="12"/>
    <n v="230.20445286579999"/>
    <n v="220"/>
    <d v="2026-04-10T00:00:00"/>
    <m/>
    <m/>
    <n v="6.7"/>
    <n v="36"/>
    <m/>
    <x v="0"/>
    <n v="12"/>
    <n v="0"/>
    <s v="Sem Alteração"/>
    <x v="0"/>
  </r>
  <r>
    <s v="26428"/>
    <s v="CAT P/ DIALISE PERIT (TENCKHOFF) 62,5CM"/>
    <n v="4"/>
    <n v="4"/>
    <n v="0"/>
    <n v="0"/>
    <n v="980"/>
    <n v="980"/>
    <d v="2025-05-09T00:00:00"/>
    <m/>
    <m/>
    <m/>
    <m/>
    <m/>
    <x v="0"/>
    <n v="0"/>
    <s v="Sem consumo"/>
    <s v="Sem consumo"/>
    <x v="2"/>
  </r>
  <r>
    <s v="11691"/>
    <s v="CAT P/ EMBOLECTOMIA (FOGARTY) 2FR"/>
    <n v="12"/>
    <n v="16"/>
    <n v="4"/>
    <n v="1"/>
    <n v="105.69121919449999"/>
    <n v="114.49"/>
    <d v="2026-04-27T00:00:00"/>
    <m/>
    <m/>
    <n v="12"/>
    <n v="3"/>
    <m/>
    <x v="0"/>
    <n v="1"/>
    <n v="0"/>
    <s v="Sem Alteração"/>
    <x v="0"/>
  </r>
  <r>
    <s v="9653"/>
    <s v="CAT P/ EMBOLECTOMIA (FOGARTY) 3FR"/>
    <n v="13"/>
    <n v="18"/>
    <n v="5"/>
    <n v="5"/>
    <n v="99.396637894600005"/>
    <n v="102.19"/>
    <d v="2026-04-27T00:00:00"/>
    <m/>
    <m/>
    <n v="2.6"/>
    <n v="15"/>
    <m/>
    <x v="0"/>
    <n v="5"/>
    <n v="7"/>
    <s v="Sem Alteração"/>
    <x v="1"/>
  </r>
  <r>
    <s v="11651"/>
    <s v="CAT P/ EMBOLECTOMIA (FOGARTY) 4FR"/>
    <n v="6"/>
    <n v="8"/>
    <n v="2"/>
    <n v="6"/>
    <n v="99.870137036599999"/>
    <n v="105.93"/>
    <d v="2026-04-07T00:00:00"/>
    <m/>
    <m/>
    <n v="1"/>
    <n v="18"/>
    <m/>
    <x v="0"/>
    <n v="6"/>
    <n v="18"/>
    <s v="Sem Alteração"/>
    <x v="1"/>
  </r>
  <r>
    <s v="9694"/>
    <s v="CAT P/ EMBOLECTOMIA (FOGARTY) 5FR"/>
    <n v="21"/>
    <n v="25"/>
    <n v="4"/>
    <n v="3"/>
    <n v="110.6061147393"/>
    <n v="114.49"/>
    <d v="2026-04-07T00:00:00"/>
    <m/>
    <m/>
    <n v="7"/>
    <n v="9"/>
    <m/>
    <x v="0"/>
    <n v="3"/>
    <n v="0"/>
    <s v="Sem Alteração"/>
    <x v="0"/>
  </r>
  <r>
    <s v="11887"/>
    <s v="CAT P/ EMBOLECTOMIA (FOGARTY) 6FR"/>
    <n v="7"/>
    <n v="11"/>
    <n v="4"/>
    <n v="1"/>
    <n v="111.79094053350001"/>
    <n v="114.5"/>
    <d v="2026-04-07T00:00:00"/>
    <m/>
    <m/>
    <n v="7"/>
    <n v="3"/>
    <m/>
    <x v="0"/>
    <n v="1"/>
    <n v="0"/>
    <s v="Sem Alteração"/>
    <x v="0"/>
  </r>
  <r>
    <s v="6789"/>
    <s v="CAT PERIFERICO DUP LUMEN (PICC) 4FR"/>
    <n v="0"/>
    <n v="0"/>
    <n v="0"/>
    <n v="0"/>
    <n v="765"/>
    <n v="1530"/>
    <d v="2025-05-13T00:00:00"/>
    <m/>
    <m/>
    <m/>
    <m/>
    <m/>
    <x v="0"/>
    <n v="0"/>
    <s v="Sem consumo"/>
    <s v="Sem consumo"/>
    <x v="2"/>
  </r>
  <r>
    <s v="22457"/>
    <s v="CAT PERIFERICO DUP LUMEN (PICC) 5FR"/>
    <n v="11"/>
    <n v="13"/>
    <n v="2"/>
    <n v="0"/>
    <n v="1600"/>
    <n v="1600"/>
    <d v="2025-12-18T00:00:00"/>
    <m/>
    <m/>
    <m/>
    <m/>
    <m/>
    <x v="0"/>
    <n v="0"/>
    <s v="Sem consumo"/>
    <s v="Sem consumo"/>
    <x v="2"/>
  </r>
  <r>
    <s v="22458"/>
    <s v="CAT PERIFERICO DUP LUMEN (PICC) 6FR"/>
    <n v="1"/>
    <n v="2"/>
    <n v="1"/>
    <n v="0"/>
    <n v="1530"/>
    <n v="1530"/>
    <d v="2026-03-12T00:00:00"/>
    <m/>
    <m/>
    <m/>
    <m/>
    <m/>
    <x v="0"/>
    <n v="0"/>
    <s v="Sem consumo"/>
    <s v="Sem consumo"/>
    <x v="2"/>
  </r>
  <r>
    <s v="22455"/>
    <s v="CAT PERIFERICO MONO LUMEN (PICC) 3FR"/>
    <n v="6"/>
    <n v="8"/>
    <n v="2"/>
    <n v="0"/>
    <n v="1530"/>
    <n v="1530"/>
    <d v="2025-11-18T00:00:00"/>
    <m/>
    <m/>
    <m/>
    <m/>
    <m/>
    <x v="0"/>
    <n v="0"/>
    <s v="Sem consumo"/>
    <s v="Sem consumo"/>
    <x v="2"/>
  </r>
  <r>
    <s v="22456"/>
    <s v="CAT PERIFERICO MONO LUMEN (PICC) 4FR"/>
    <n v="0"/>
    <n v="0"/>
    <n v="0"/>
    <n v="2"/>
    <n v="1530"/>
    <n v="1530"/>
    <d v="2026-01-30T00:00:00"/>
    <m/>
    <m/>
    <n v="0"/>
    <n v="6"/>
    <m/>
    <x v="0"/>
    <n v="2"/>
    <n v="8"/>
    <s v="Sem Alteração"/>
    <x v="3"/>
  </r>
  <r>
    <s v="22300"/>
    <s v="CAT PERIFERICO MONO LUMEN (PICC) 5FR"/>
    <n v="1"/>
    <n v="1"/>
    <n v="0"/>
    <n v="3"/>
    <n v="1593.5142857154001"/>
    <n v="1600"/>
    <d v="2025-12-19T00:00:00"/>
    <m/>
    <m/>
    <n v="0.3"/>
    <n v="9"/>
    <m/>
    <x v="0"/>
    <n v="3"/>
    <n v="12"/>
    <s v="Sem Alteração"/>
    <x v="3"/>
  </r>
  <r>
    <s v="6695"/>
    <s v="CAT SWAN GANZ 7,5F - DEB CONTINUO"/>
    <n v="7"/>
    <n v="11"/>
    <n v="4"/>
    <n v="2"/>
    <n v="1939.9521629880001"/>
    <n v="2050"/>
    <d v="2026-04-23T00:00:00"/>
    <m/>
    <m/>
    <n v="3.5"/>
    <n v="6"/>
    <m/>
    <x v="0"/>
    <n v="2"/>
    <n v="0"/>
    <s v="Sem Alteração"/>
    <x v="0"/>
  </r>
  <r>
    <s v="26957"/>
    <s v="CAT TRIPLO LUMEN P/HEMOD 12FR X 15CM"/>
    <n v="9"/>
    <n v="14"/>
    <n v="5"/>
    <n v="1"/>
    <n v="105.4037698413"/>
    <n v="110"/>
    <d v="2026-02-19T00:00:00"/>
    <m/>
    <m/>
    <n v="9"/>
    <n v="3"/>
    <m/>
    <x v="0"/>
    <n v="1"/>
    <n v="0"/>
    <s v="Sem Alteração"/>
    <x v="0"/>
  </r>
  <r>
    <s v="1800174"/>
    <s v="CAT TRIPLO LUMEN P/HEMOD 12FR X 20CM"/>
    <n v="39"/>
    <n v="58"/>
    <n v="19"/>
    <n v="8"/>
    <n v="79.771987731600007"/>
    <n v="78.849999999999994"/>
    <d v="2026-02-13T00:00:00"/>
    <m/>
    <m/>
    <n v="4.9000000000000004"/>
    <n v="24"/>
    <m/>
    <x v="0"/>
    <n v="8"/>
    <n v="0"/>
    <s v="Sem Alteração"/>
    <x v="0"/>
  </r>
  <r>
    <s v="25248"/>
    <s v="CAT URETERAL DUPLO J 4,7FR 26CM"/>
    <n v="67"/>
    <n v="78"/>
    <n v="11"/>
    <n v="13"/>
    <n v="109.59901144219999"/>
    <n v="110.87"/>
    <d v="2026-03-13T00:00:00"/>
    <m/>
    <m/>
    <n v="5.2"/>
    <n v="39"/>
    <m/>
    <x v="0"/>
    <n v="13"/>
    <n v="0"/>
    <s v="Sem Alteração"/>
    <x v="0"/>
  </r>
  <r>
    <s v="6699"/>
    <s v="CAT URETERAL DUPLO J 6FR x 26cm"/>
    <n v="0"/>
    <n v="0"/>
    <n v="0"/>
    <n v="0"/>
    <n v="952"/>
    <n v="90"/>
    <d v="2023-06-15T00:00:00"/>
    <m/>
    <m/>
    <m/>
    <m/>
    <m/>
    <x v="0"/>
    <n v="0"/>
    <s v="Sem consumo"/>
    <s v="Sem consumo"/>
    <x v="2"/>
  </r>
  <r>
    <s v="6886"/>
    <s v="CAT URETERAL DUPLO J 6FR x 28CM"/>
    <n v="0"/>
    <n v="0"/>
    <n v="0"/>
    <n v="0"/>
    <n v="90"/>
    <n v="90"/>
    <d v="2023-06-15T00:00:00"/>
    <m/>
    <m/>
    <m/>
    <m/>
    <m/>
    <x v="0"/>
    <n v="0"/>
    <s v="Sem consumo"/>
    <s v="Sem consumo"/>
    <x v="2"/>
  </r>
  <r>
    <s v="1821302"/>
    <s v="CAT URETRAL DUPLO J 6 X 24 6FR"/>
    <n v="0"/>
    <n v="1"/>
    <n v="1"/>
    <n v="0"/>
    <n v="61.33"/>
    <n v="61.33"/>
    <d v="2024-05-29T00:00:00"/>
    <m/>
    <m/>
    <m/>
    <m/>
    <m/>
    <x v="0"/>
    <n v="0"/>
    <s v="Sem consumo"/>
    <s v="Sem consumo"/>
    <x v="2"/>
  </r>
  <r>
    <s v="7451496"/>
    <s v="CAT VEN CENTRAL DUP LUM 7F X 20CM C/ANTB"/>
    <n v="9"/>
    <n v="10"/>
    <n v="1"/>
    <n v="0"/>
    <n v="74.138958329900007"/>
    <n v="3499"/>
    <d v="2026-03-19T00:00:00"/>
    <m/>
    <m/>
    <m/>
    <m/>
    <m/>
    <x v="0"/>
    <n v="0"/>
    <s v="Sem consumo"/>
    <s v="Sem consumo"/>
    <x v="2"/>
  </r>
  <r>
    <s v="10454"/>
    <s v="CAT VEN CENTRAL DUP LUMEN 4 X 13/15CM"/>
    <n v="96"/>
    <n v="116"/>
    <n v="20"/>
    <n v="20"/>
    <n v="51.209019101300001"/>
    <n v="50.28"/>
    <d v="2026-03-16T00:00:00"/>
    <m/>
    <m/>
    <n v="4.8"/>
    <n v="60"/>
    <m/>
    <x v="0"/>
    <n v="20"/>
    <n v="0"/>
    <s v="Sem Alteração"/>
    <x v="0"/>
  </r>
  <r>
    <s v="9177"/>
    <s v="CAT VEN CENTRAL DUP LUMEN 5 X 13/15CM"/>
    <n v="90"/>
    <n v="113"/>
    <n v="23"/>
    <n v="22"/>
    <n v="54.156977858099999"/>
    <n v="50.27"/>
    <d v="2026-02-13T00:00:00"/>
    <m/>
    <m/>
    <n v="4.0999999999999996"/>
    <n v="66"/>
    <m/>
    <x v="0"/>
    <n v="22"/>
    <n v="0"/>
    <s v="Sem Alteração"/>
    <x v="0"/>
  </r>
  <r>
    <s v="6693"/>
    <s v="CAT VEN CENTRAL DUP LUMEN 7 X 20CM"/>
    <n v="249"/>
    <n v="323"/>
    <n v="74"/>
    <n v="139"/>
    <n v="33.652813044799998"/>
    <n v="33.79"/>
    <d v="2026-02-23T00:00:00"/>
    <m/>
    <m/>
    <n v="1.8"/>
    <n v="417"/>
    <m/>
    <x v="0"/>
    <n v="139"/>
    <n v="306"/>
    <s v="Sem Alteração"/>
    <x v="1"/>
  </r>
  <r>
    <s v="7454231"/>
    <s v="CAT VEN CENTRAL DUPLO LUMEN 3FR"/>
    <n v="40"/>
    <n v="46"/>
    <n v="6"/>
    <n v="3"/>
    <n v="539.34422361750001"/>
    <n v="540.23"/>
    <d v="2026-03-04T00:00:00"/>
    <m/>
    <m/>
    <n v="13.3"/>
    <n v="9"/>
    <m/>
    <x v="0"/>
    <n v="3"/>
    <n v="0"/>
    <s v="Sem Alteração"/>
    <x v="0"/>
  </r>
  <r>
    <s v="1800252"/>
    <s v="CAT VEN TRIPLO LUMEN 7FR C/ANTB"/>
    <n v="7"/>
    <n v="10"/>
    <n v="3"/>
    <n v="1"/>
    <n v="188.8784444451"/>
    <n v="188.99"/>
    <d v="2026-04-23T00:00:00"/>
    <m/>
    <m/>
    <n v="7"/>
    <n v="3"/>
    <m/>
    <x v="0"/>
    <n v="1"/>
    <n v="0"/>
    <s v="Sem Alteração"/>
    <x v="0"/>
  </r>
  <r>
    <s v="1820980"/>
    <s v="CATETER  ENDOSCOPICO INJETOR 2,3 MM"/>
    <n v="13"/>
    <n v="15"/>
    <n v="2"/>
    <n v="0"/>
    <n v="74.152179545300001"/>
    <n v="81.599999999999994"/>
    <d v="2024-12-02T00:00:00"/>
    <m/>
    <m/>
    <m/>
    <m/>
    <m/>
    <x v="0"/>
    <n v="0"/>
    <s v="Sem consumo"/>
    <s v="Sem consumo"/>
    <x v="2"/>
  </r>
  <r>
    <s v="11341"/>
    <s v="CATETER APLICADOR 2,6 MM (HEMOCLIP)"/>
    <n v="10"/>
    <n v="12"/>
    <n v="2"/>
    <n v="0"/>
    <n v="265.57269119770001"/>
    <n v="299.89999999999998"/>
    <d v="2025-08-08T00:00:00"/>
    <m/>
    <m/>
    <m/>
    <m/>
    <m/>
    <x v="0"/>
    <n v="0"/>
    <s v="Sem consumo"/>
    <s v="Sem consumo"/>
    <x v="2"/>
  </r>
  <r>
    <s v="1820390"/>
    <s v="CATETER APLICADOR 2,8 MM (HEMOCLIP)"/>
    <n v="7"/>
    <n v="9"/>
    <n v="2"/>
    <n v="0"/>
    <n v="433.99"/>
    <n v="433.99"/>
    <d v="2024-11-26T00:00:00"/>
    <m/>
    <m/>
    <m/>
    <m/>
    <m/>
    <x v="0"/>
    <n v="0"/>
    <s v="Sem consumo"/>
    <s v="Sem consumo"/>
    <x v="2"/>
  </r>
  <r>
    <s v="1822091"/>
    <s v="CATETER BALAO PERIFERICO 2,5 X 60 X 150"/>
    <n v="0"/>
    <n v="0"/>
    <n v="0"/>
    <n v="0"/>
    <n v="593.99"/>
    <n v="593.99"/>
    <d v="2025-02-07T00:00:00"/>
    <m/>
    <m/>
    <m/>
    <m/>
    <m/>
    <x v="0"/>
    <n v="0"/>
    <s v="Sem consumo"/>
    <s v="Sem consumo"/>
    <x v="2"/>
  </r>
  <r>
    <s v="1822203"/>
    <s v="CATETER BALAO PERIFERICO 3 X 60 X 150"/>
    <n v="0"/>
    <n v="0"/>
    <n v="0"/>
    <n v="0"/>
    <n v="593.99"/>
    <n v="593.99"/>
    <d v="2025-06-10T00:00:00"/>
    <m/>
    <m/>
    <m/>
    <m/>
    <m/>
    <x v="0"/>
    <n v="0"/>
    <s v="Sem consumo"/>
    <s v="Sem consumo"/>
    <x v="2"/>
  </r>
  <r>
    <s v="23690"/>
    <s v="CATETER DIRIGIVEL 7FR ABLAÇAO"/>
    <n v="0"/>
    <n v="0"/>
    <n v="0"/>
    <n v="0"/>
    <n v="3434.18"/>
    <n v="3434.18"/>
    <d v="2024-02-29T00:00:00"/>
    <m/>
    <m/>
    <m/>
    <m/>
    <m/>
    <x v="0"/>
    <n v="0"/>
    <s v="Sem consumo"/>
    <s v="Sem consumo"/>
    <x v="2"/>
  </r>
  <r>
    <s v="9545"/>
    <s v="CATETER DUP LUMEN HEMO 14F x 20cm"/>
    <n v="0"/>
    <n v="0"/>
    <n v="0"/>
    <n v="0"/>
    <n v="223.5"/>
    <n v="223.5"/>
    <d v="2022-09-28T00:00:00"/>
    <m/>
    <m/>
    <m/>
    <m/>
    <m/>
    <x v="0"/>
    <n v="0"/>
    <s v="Sem consumo"/>
    <s v="Sem consumo"/>
    <x v="2"/>
  </r>
  <r>
    <s v="6700"/>
    <s v="CATETER DUPLO J 6F 26CM - LONGA PERM"/>
    <n v="5"/>
    <n v="7"/>
    <n v="2"/>
    <n v="1"/>
    <n v="950"/>
    <n v="950"/>
    <d v="2026-03-26T00:00:00"/>
    <m/>
    <m/>
    <n v="5"/>
    <n v="3"/>
    <m/>
    <x v="0"/>
    <n v="1"/>
    <n v="0"/>
    <s v="Sem Alteração"/>
    <x v="0"/>
  </r>
  <r>
    <s v="1821066"/>
    <s v="CATETER DUPLO LUMEN (PERMCATH) 12,5 x 28"/>
    <n v="5"/>
    <n v="5"/>
    <n v="0"/>
    <n v="0"/>
    <n v="844"/>
    <n v="844"/>
    <d v="2026-04-15T00:00:00"/>
    <m/>
    <m/>
    <m/>
    <m/>
    <m/>
    <x v="0"/>
    <n v="0"/>
    <s v="Sem consumo"/>
    <s v="Sem consumo"/>
    <x v="2"/>
  </r>
  <r>
    <s v="7453226"/>
    <s v="CATETER GUIA EBU 3,0 6F"/>
    <n v="0"/>
    <n v="0"/>
    <n v="0"/>
    <n v="0"/>
    <n v="116.1142857143"/>
    <n v="118.8"/>
    <d v="2023-04-12T00:00:00"/>
    <m/>
    <m/>
    <m/>
    <m/>
    <m/>
    <x v="0"/>
    <n v="0"/>
    <s v="Sem consumo"/>
    <s v="Sem consumo"/>
    <x v="2"/>
  </r>
  <r>
    <s v="24058"/>
    <s v="CEC ADULTO CRISTALOIDE CONVENCIONAL"/>
    <n v="151"/>
    <n v="155"/>
    <n v="4"/>
    <n v="49"/>
    <n v="2967.5586771851999"/>
    <n v="2970"/>
    <d v="2026-04-29T00:00:00"/>
    <m/>
    <m/>
    <n v="3.1"/>
    <n v="147"/>
    <m/>
    <x v="0"/>
    <n v="49"/>
    <n v="0"/>
    <s v="Sem Alteração"/>
    <x v="0"/>
  </r>
  <r>
    <s v="11320"/>
    <s v="CEC ADULTO CRISTALOIDE MODELO S5"/>
    <n v="99"/>
    <n v="125"/>
    <n v="26"/>
    <n v="39"/>
    <n v="2874.3857064845001"/>
    <n v="2965"/>
    <d v="2026-04-29T00:00:00"/>
    <m/>
    <m/>
    <n v="2.5"/>
    <n v="117"/>
    <m/>
    <x v="0"/>
    <n v="39"/>
    <n v="59"/>
    <s v="Sem Alteração"/>
    <x v="1"/>
  </r>
  <r>
    <s v="24059"/>
    <s v="CEC INFANTIL 050"/>
    <n v="2"/>
    <n v="8"/>
    <n v="6"/>
    <n v="0"/>
    <n v="2504.7167307697"/>
    <n v="3305.85"/>
    <d v="2025-12-01T00:00:00"/>
    <m/>
    <m/>
    <m/>
    <m/>
    <m/>
    <x v="0"/>
    <n v="0"/>
    <s v="Sem consumo"/>
    <s v="Sem consumo"/>
    <x v="2"/>
  </r>
  <r>
    <s v="25572"/>
    <s v="CEC INFANTIL 1.500"/>
    <n v="7"/>
    <n v="9"/>
    <n v="2"/>
    <n v="0"/>
    <n v="3304.4086099264"/>
    <n v="3305.85"/>
    <d v="2025-10-02T00:00:00"/>
    <m/>
    <m/>
    <m/>
    <m/>
    <m/>
    <x v="0"/>
    <n v="0"/>
    <s v="Sem consumo"/>
    <s v="Sem consumo"/>
    <x v="2"/>
  </r>
  <r>
    <s v="26372"/>
    <s v="CEC INFANTIL D100"/>
    <n v="0"/>
    <n v="0"/>
    <n v="0"/>
    <n v="0"/>
    <n v="3390"/>
    <n v="3390"/>
    <d v="2026-03-05T00:00:00"/>
    <m/>
    <m/>
    <m/>
    <m/>
    <m/>
    <x v="0"/>
    <n v="0"/>
    <s v="Sem consumo"/>
    <s v="Sem consumo"/>
    <x v="2"/>
  </r>
  <r>
    <s v="26388"/>
    <s v="CEC INFANTIL D101"/>
    <n v="0"/>
    <n v="0"/>
    <n v="0"/>
    <n v="0"/>
    <n v="3279"/>
    <n v="3279"/>
    <d v="2025-09-26T00:00:00"/>
    <m/>
    <m/>
    <m/>
    <m/>
    <m/>
    <x v="0"/>
    <n v="0"/>
    <s v="Sem consumo"/>
    <s v="Sem consumo"/>
    <x v="2"/>
  </r>
  <r>
    <s v="11038"/>
    <s v="CEC INFANTIL/PEDIATRICO 5S"/>
    <n v="68"/>
    <n v="72"/>
    <n v="4"/>
    <n v="9"/>
    <n v="3302.6151516908999"/>
    <n v="3305.85"/>
    <d v="2026-04-13T00:00:00"/>
    <m/>
    <m/>
    <n v="7.6"/>
    <n v="27"/>
    <m/>
    <x v="0"/>
    <n v="9"/>
    <n v="0"/>
    <s v="Sem Alteração"/>
    <x v="0"/>
  </r>
  <r>
    <s v="25444"/>
    <s v="CEC NEO/INFANTIL S5"/>
    <n v="104"/>
    <n v="108"/>
    <n v="4"/>
    <n v="12"/>
    <n v="3399.0844579247"/>
    <n v="3400"/>
    <d v="2026-04-30T00:00:00"/>
    <m/>
    <m/>
    <n v="8.6999999999999993"/>
    <n v="36"/>
    <m/>
    <x v="0"/>
    <n v="12"/>
    <n v="0"/>
    <s v="Sem Alteração"/>
    <x v="0"/>
  </r>
  <r>
    <s v="9453"/>
    <s v="CEC NEONATO 0800"/>
    <n v="2"/>
    <n v="2"/>
    <n v="0"/>
    <n v="2"/>
    <n v="3592.2200000001999"/>
    <n v="3592.22"/>
    <d v="2025-10-02T00:00:00"/>
    <m/>
    <m/>
    <n v="1"/>
    <n v="6"/>
    <m/>
    <x v="0"/>
    <n v="2"/>
    <n v="6"/>
    <s v="Sem Alteração"/>
    <x v="1"/>
  </r>
  <r>
    <s v="8977"/>
    <s v="CEC PEDIATRICO COM REDUCAO"/>
    <n v="0"/>
    <n v="0"/>
    <n v="0"/>
    <n v="0"/>
    <n v="1731.6141965274001"/>
    <n v="1731.63"/>
    <d v="2022-04-11T00:00:00"/>
    <m/>
    <m/>
    <m/>
    <m/>
    <m/>
    <x v="0"/>
    <n v="0"/>
    <s v="Sem consumo"/>
    <s v="Sem consumo"/>
    <x v="2"/>
  </r>
  <r>
    <s v="22765"/>
    <s v="CEC REVESTIDO ADULTO"/>
    <n v="18"/>
    <n v="23"/>
    <n v="5"/>
    <n v="1"/>
    <n v="3185.2752589815"/>
    <n v="2756.85"/>
    <d v="2026-03-11T00:00:00"/>
    <m/>
    <m/>
    <n v="18"/>
    <n v="3"/>
    <m/>
    <x v="0"/>
    <n v="1"/>
    <n v="0"/>
    <s v="Sem Alteração"/>
    <x v="0"/>
  </r>
  <r>
    <s v="24682"/>
    <s v="CEC REVESTIDO INFANTIL/PEDIATRICO 5S"/>
    <n v="2"/>
    <n v="2"/>
    <n v="0"/>
    <n v="0"/>
    <n v="3293.8722925485999"/>
    <n v="3305.85"/>
    <d v="2023-03-27T00:00:00"/>
    <m/>
    <m/>
    <m/>
    <m/>
    <m/>
    <x v="0"/>
    <n v="0"/>
    <s v="Sem consumo"/>
    <s v="Sem consumo"/>
    <x v="2"/>
  </r>
  <r>
    <s v="26768"/>
    <s v="CONECTOR DE SATURACAO ARTERIAL 1/4"/>
    <n v="91"/>
    <n v="99"/>
    <n v="8"/>
    <n v="10"/>
    <n v="526.59888769789995"/>
    <n v="553.5"/>
    <d v="2026-04-27T00:00:00"/>
    <m/>
    <m/>
    <n v="9.1"/>
    <n v="30"/>
    <m/>
    <x v="0"/>
    <n v="10"/>
    <n v="0"/>
    <s v="Sem Alteração"/>
    <x v="0"/>
  </r>
  <r>
    <s v="26769"/>
    <s v="CONECTOR DE SATURACAO ARTERIAL 3/8"/>
    <n v="16"/>
    <n v="29"/>
    <n v="13"/>
    <n v="25"/>
    <n v="640.4830755337"/>
    <n v="553.5"/>
    <d v="2026-04-27T00:00:00"/>
    <m/>
    <m/>
    <n v="0.6"/>
    <n v="75"/>
    <m/>
    <x v="0"/>
    <n v="25"/>
    <n v="85"/>
    <s v="Sem Alteração"/>
    <x v="3"/>
  </r>
  <r>
    <s v="25317"/>
    <s v="CONECTOR DE SATURACAO VENOSA 1/2"/>
    <n v="93"/>
    <n v="217"/>
    <n v="124"/>
    <n v="18"/>
    <n v="330.374075135"/>
    <n v="420"/>
    <d v="2026-04-27T00:00:00"/>
    <m/>
    <m/>
    <n v="5.2"/>
    <n v="54"/>
    <m/>
    <x v="0"/>
    <n v="18"/>
    <n v="0"/>
    <s v="Sem Alteração"/>
    <x v="0"/>
  </r>
  <r>
    <s v="22397"/>
    <s v="CONECTOR DE SATURACAO VENOSA 1/4"/>
    <n v="19"/>
    <n v="106"/>
    <n v="87"/>
    <n v="4"/>
    <n v="364.48365708699998"/>
    <n v="420"/>
    <d v="2026-03-09T00:00:00"/>
    <m/>
    <m/>
    <n v="4.8"/>
    <n v="12"/>
    <m/>
    <x v="0"/>
    <n v="4"/>
    <n v="0"/>
    <s v="Sem Alteração"/>
    <x v="0"/>
  </r>
  <r>
    <s v="25316"/>
    <s v="CONECTOR DE SATURACAO VENOSA 3/8"/>
    <n v="36"/>
    <n v="45"/>
    <n v="9"/>
    <n v="9"/>
    <n v="416.58083579499998"/>
    <n v="420"/>
    <d v="2026-04-27T00:00:00"/>
    <m/>
    <m/>
    <n v="4"/>
    <n v="27"/>
    <m/>
    <x v="0"/>
    <n v="9"/>
    <n v="0"/>
    <s v="Sem Alteração"/>
    <x v="0"/>
  </r>
  <r>
    <s v="7451533"/>
    <s v="CONJ BALAO INTRA-AORTICO 7,5FR 34CC"/>
    <n v="2"/>
    <n v="2"/>
    <n v="0"/>
    <n v="0"/>
    <n v="4633.3333333333003"/>
    <n v="4800"/>
    <d v="2025-05-16T00:00:00"/>
    <m/>
    <m/>
    <m/>
    <m/>
    <m/>
    <x v="0"/>
    <n v="0"/>
    <s v="Sem consumo"/>
    <s v="Sem consumo"/>
    <x v="2"/>
  </r>
  <r>
    <s v="7451532"/>
    <s v="CONJ BALAO INTRA-AORTICO 7,5FR 40CC"/>
    <n v="0"/>
    <n v="0"/>
    <n v="0"/>
    <n v="0"/>
    <n v="4600"/>
    <n v="4800"/>
    <d v="2025-05-16T00:00:00"/>
    <m/>
    <m/>
    <m/>
    <m/>
    <m/>
    <x v="0"/>
    <n v="0"/>
    <s v="Sem consumo"/>
    <s v="Sem consumo"/>
    <x v="2"/>
  </r>
  <r>
    <s v="9103"/>
    <s v="CONJ GASTROSTOMIA PERC. ENDOSC. 22FR"/>
    <n v="0"/>
    <n v="0"/>
    <n v="0"/>
    <n v="0"/>
    <n v="597"/>
    <n v="597"/>
    <d v="2024-02-19T00:00:00"/>
    <m/>
    <m/>
    <m/>
    <m/>
    <m/>
    <x v="0"/>
    <n v="0"/>
    <s v="Sem consumo"/>
    <s v="Sem consumo"/>
    <x v="2"/>
  </r>
  <r>
    <s v="9104"/>
    <s v="CONJ GASTROSTOMIA PERC. ENDOSC. 24FR"/>
    <n v="4"/>
    <n v="4"/>
    <n v="0"/>
    <n v="0"/>
    <n v="266.11840000000001"/>
    <n v="367.9"/>
    <d v="2024-01-30T00:00:00"/>
    <m/>
    <m/>
    <m/>
    <m/>
    <m/>
    <x v="0"/>
    <n v="0"/>
    <s v="Sem consumo"/>
    <s v="Sem consumo"/>
    <x v="2"/>
  </r>
  <r>
    <s v="25166"/>
    <s v="CONJ P/ DRENAGEM NEFROSTOMIA 10"/>
    <n v="6"/>
    <n v="10"/>
    <n v="4"/>
    <n v="2"/>
    <n v="494.50197450360002"/>
    <n v="335.1"/>
    <d v="2026-04-29T00:00:00"/>
    <m/>
    <m/>
    <n v="3"/>
    <n v="6"/>
    <m/>
    <x v="0"/>
    <n v="2"/>
    <n v="2"/>
    <s v="Sem Alteração"/>
    <x v="1"/>
  </r>
  <r>
    <s v="1820187"/>
    <s v="CONJ P/ DRENAGEM NEFROSTOMIA 12"/>
    <n v="10"/>
    <n v="17"/>
    <n v="7"/>
    <n v="0"/>
    <n v="528.93739275760004"/>
    <n v="335.1"/>
    <d v="2025-10-29T00:00:00"/>
    <m/>
    <m/>
    <m/>
    <m/>
    <m/>
    <x v="0"/>
    <n v="0"/>
    <s v="Sem consumo"/>
    <s v="Sem consumo"/>
    <x v="2"/>
  </r>
  <r>
    <s v="25167"/>
    <s v="CONJ P/ DRENAGEM NEFROSTOMIA 14"/>
    <n v="7"/>
    <n v="9"/>
    <n v="2"/>
    <n v="0"/>
    <n v="378.29059156379998"/>
    <n v="297"/>
    <d v="2025-05-13T00:00:00"/>
    <m/>
    <m/>
    <m/>
    <m/>
    <m/>
    <x v="0"/>
    <n v="0"/>
    <s v="Sem consumo"/>
    <s v="Sem consumo"/>
    <x v="2"/>
  </r>
  <r>
    <s v="9383"/>
    <s v="CONJ P/AUTO TRANSFUSAO"/>
    <n v="19"/>
    <n v="23"/>
    <n v="4"/>
    <n v="16"/>
    <n v="1977.7536270899"/>
    <n v="1980"/>
    <d v="2026-04-16T00:00:00"/>
    <m/>
    <m/>
    <n v="1.2"/>
    <n v="48"/>
    <m/>
    <x v="0"/>
    <n v="16"/>
    <n v="45"/>
    <s v="Sem Alteração"/>
    <x v="1"/>
  </r>
  <r>
    <s v="745263827"/>
    <s v="DISPOSITIVO DE FIXAÇÃO PICC"/>
    <n v="78"/>
    <n v="82"/>
    <n v="4"/>
    <n v="6"/>
    <n v="27.9086277997"/>
    <n v="28"/>
    <d v="2025-11-21T00:00:00"/>
    <m/>
    <m/>
    <n v="13"/>
    <n v="18"/>
    <m/>
    <x v="0"/>
    <n v="6"/>
    <n v="0"/>
    <s v="Sem Alteração"/>
    <x v="0"/>
  </r>
  <r>
    <s v="1800200"/>
    <s v="ELETRODO ENDOCARDIO TEMPORARIO 5FR"/>
    <n v="26"/>
    <n v="51"/>
    <n v="25"/>
    <n v="11"/>
    <n v="556.46494320260001"/>
    <n v="559"/>
    <d v="2026-03-09T00:00:00"/>
    <m/>
    <m/>
    <n v="2.4"/>
    <n v="33"/>
    <m/>
    <x v="0"/>
    <n v="11"/>
    <n v="18"/>
    <s v="Sem Alteração"/>
    <x v="1"/>
  </r>
  <r>
    <s v="26942"/>
    <s v="ENXERTO  DACRON RETO 8 X 30 F.WEAVE"/>
    <n v="5"/>
    <n v="6"/>
    <n v="1"/>
    <n v="1"/>
    <n v="1666.6666666666999"/>
    <n v="1450"/>
    <d v="2026-04-28T00:00:00"/>
    <m/>
    <m/>
    <n v="5"/>
    <n v="3"/>
    <m/>
    <x v="0"/>
    <n v="1"/>
    <n v="0"/>
    <s v="Sem Alteração"/>
    <x v="0"/>
  </r>
  <r>
    <s v="1822240"/>
    <s v="ENXERTO DACRON RETO 18mm x30cm"/>
    <n v="2"/>
    <n v="3"/>
    <n v="1"/>
    <n v="0"/>
    <n v="3000"/>
    <n v="3500"/>
    <d v="2026-02-19T00:00:00"/>
    <m/>
    <m/>
    <m/>
    <m/>
    <m/>
    <x v="0"/>
    <n v="0"/>
    <s v="Sem consumo"/>
    <s v="Sem consumo"/>
    <x v="2"/>
  </r>
  <r>
    <s v="1820275"/>
    <s v="ENXERTO DACRON RETO 20mm x30cm"/>
    <n v="1"/>
    <n v="1"/>
    <n v="0"/>
    <n v="0"/>
    <n v="3000"/>
    <n v="3000"/>
    <d v="2026-04-01T00:00:00"/>
    <m/>
    <m/>
    <m/>
    <m/>
    <m/>
    <x v="0"/>
    <n v="0"/>
    <s v="Sem consumo"/>
    <s v="Sem consumo"/>
    <x v="2"/>
  </r>
  <r>
    <s v="1822621"/>
    <s v="ENXERTO VASC DACRON BIFURC 10 X 20"/>
    <n v="2"/>
    <n v="4"/>
    <n v="2"/>
    <n v="0"/>
    <n v="2731.3671875001"/>
    <n v="2510"/>
    <d v="2025-10-29T00:00:00"/>
    <m/>
    <m/>
    <m/>
    <m/>
    <m/>
    <x v="0"/>
    <n v="0"/>
    <s v="Sem consumo"/>
    <s v="Sem consumo"/>
    <x v="2"/>
  </r>
  <r>
    <s v="7452202"/>
    <s v="ENXERTO VASC DACRON BIFURC 7 X 14"/>
    <n v="8"/>
    <n v="12"/>
    <n v="4"/>
    <n v="1"/>
    <n v="1286.6311366253999"/>
    <n v="1400"/>
    <d v="2024-07-03T00:00:00"/>
    <m/>
    <m/>
    <n v="8"/>
    <n v="3"/>
    <m/>
    <x v="0"/>
    <n v="1"/>
    <n v="0"/>
    <s v="Sem Alteração"/>
    <x v="0"/>
  </r>
  <r>
    <s v="10815"/>
    <s v="ENXERTO VASC DACRON BIFURC 8 X 16"/>
    <n v="4"/>
    <n v="5"/>
    <n v="1"/>
    <n v="1"/>
    <n v="2975.3381772961998"/>
    <n v="3500"/>
    <d v="2025-03-17T00:00:00"/>
    <m/>
    <m/>
    <n v="4"/>
    <n v="3"/>
    <m/>
    <x v="0"/>
    <n v="1"/>
    <n v="0"/>
    <s v="Sem Alteração"/>
    <x v="0"/>
  </r>
  <r>
    <s v="1822622"/>
    <s v="ENXERTO VASC DACRON BIFURC 9 X 18"/>
    <n v="2"/>
    <n v="4"/>
    <n v="2"/>
    <n v="1"/>
    <n v="1283.3984374999"/>
    <n v="1300"/>
    <d v="2024-06-26T00:00:00"/>
    <m/>
    <m/>
    <n v="2"/>
    <n v="3"/>
    <m/>
    <x v="0"/>
    <n v="1"/>
    <n v="2"/>
    <s v="Sem Alteração"/>
    <x v="1"/>
  </r>
  <r>
    <s v="7452225"/>
    <s v="ENXERTO VASC DACRON RETO 10 X 30CM"/>
    <n v="4"/>
    <n v="4"/>
    <n v="0"/>
    <n v="0"/>
    <n v="3000"/>
    <n v="3000"/>
    <d v="2025-12-29T00:00:00"/>
    <m/>
    <m/>
    <m/>
    <m/>
    <m/>
    <x v="0"/>
    <n v="0"/>
    <s v="Sem consumo"/>
    <s v="Sem consumo"/>
    <x v="2"/>
  </r>
  <r>
    <s v="7454142"/>
    <s v="ENXERTO VASC DACRON RETO 10 X 60CM"/>
    <n v="7"/>
    <n v="11"/>
    <n v="4"/>
    <n v="2"/>
    <n v="1495.7491067379001"/>
    <n v="1450"/>
    <d v="2026-04-28T00:00:00"/>
    <m/>
    <m/>
    <n v="3.5"/>
    <n v="6"/>
    <m/>
    <x v="0"/>
    <n v="2"/>
    <n v="0"/>
    <s v="Sem Alteração"/>
    <x v="0"/>
  </r>
  <r>
    <s v="1822278"/>
    <s v="ENXERTO VASC DACRON RETO 22 X 30CM"/>
    <n v="4"/>
    <n v="7"/>
    <n v="3"/>
    <n v="0"/>
    <n v="3379.7507768541"/>
    <n v="3800"/>
    <d v="2025-08-19T00:00:00"/>
    <m/>
    <m/>
    <m/>
    <m/>
    <m/>
    <x v="0"/>
    <n v="0"/>
    <s v="Sem consumo"/>
    <s v="Sem consumo"/>
    <x v="2"/>
  </r>
  <r>
    <s v="7452212"/>
    <s v="ENXERTO VASC DACRON RETO 24 X 30CM"/>
    <n v="8"/>
    <n v="12"/>
    <n v="4"/>
    <n v="0"/>
    <n v="1422.0964455615999"/>
    <n v="1300"/>
    <d v="2024-09-06T00:00:00"/>
    <m/>
    <m/>
    <m/>
    <m/>
    <m/>
    <x v="0"/>
    <n v="0"/>
    <s v="Sem consumo"/>
    <s v="Sem consumo"/>
    <x v="2"/>
  </r>
  <r>
    <s v="7452443"/>
    <s v="ENXERTO VASC DACRON RETO 26 X 30CM"/>
    <n v="7"/>
    <n v="10"/>
    <n v="3"/>
    <n v="2"/>
    <n v="2285.6109454153002"/>
    <n v="3000"/>
    <d v="2025-12-29T00:00:00"/>
    <m/>
    <m/>
    <n v="3.5"/>
    <n v="6"/>
    <m/>
    <x v="0"/>
    <n v="2"/>
    <n v="0"/>
    <s v="Sem Alteração"/>
    <x v="0"/>
  </r>
  <r>
    <s v="7452444"/>
    <s v="ENXERTO VASC DACRON RETO 28 X 30CM"/>
    <n v="8"/>
    <n v="12"/>
    <n v="4"/>
    <n v="4"/>
    <n v="3076.7795303100002"/>
    <n v="3200"/>
    <d v="2026-03-11T00:00:00"/>
    <m/>
    <m/>
    <n v="2"/>
    <n v="12"/>
    <m/>
    <x v="0"/>
    <n v="4"/>
    <n v="8"/>
    <s v="Sem Alteração"/>
    <x v="1"/>
  </r>
  <r>
    <s v="7452226"/>
    <s v="ENXERTO VASC DACRON RETO 30 X 30CM"/>
    <n v="10"/>
    <n v="14"/>
    <n v="4"/>
    <n v="0"/>
    <n v="3411.2719027004"/>
    <n v="3000"/>
    <d v="2026-02-23T00:00:00"/>
    <m/>
    <m/>
    <m/>
    <m/>
    <m/>
    <x v="0"/>
    <n v="0"/>
    <s v="Sem consumo"/>
    <s v="Sem consumo"/>
    <x v="2"/>
  </r>
  <r>
    <s v="7450222"/>
    <s v="ENXERTO VASC DACRON RETO 32 X 30CM"/>
    <n v="10"/>
    <n v="13"/>
    <n v="3"/>
    <n v="2"/>
    <n v="3357.4490189013"/>
    <n v="3200"/>
    <d v="2026-03-11T00:00:00"/>
    <m/>
    <m/>
    <n v="5"/>
    <n v="6"/>
    <m/>
    <x v="0"/>
    <n v="2"/>
    <n v="0"/>
    <s v="Sem Alteração"/>
    <x v="0"/>
  </r>
  <r>
    <s v="1820270"/>
    <s v="ENXERTO VASC DACRON RETO 6 X 70CM"/>
    <n v="0"/>
    <n v="0"/>
    <n v="0"/>
    <n v="0"/>
    <n v="1829.1"/>
    <n v="1829.1"/>
    <d v="2024-03-22T00:00:00"/>
    <m/>
    <m/>
    <m/>
    <m/>
    <m/>
    <x v="0"/>
    <n v="0"/>
    <s v="Sem consumo"/>
    <s v="Sem consumo"/>
    <x v="2"/>
  </r>
  <r>
    <s v="1820272"/>
    <s v="ENXERTO VASC DACRON RETO 8 X 60CM"/>
    <n v="9"/>
    <n v="14"/>
    <n v="5"/>
    <n v="4"/>
    <n v="2092.5439420757998"/>
    <n v="1450"/>
    <d v="2026-04-28T00:00:00"/>
    <m/>
    <m/>
    <n v="2.2000000000000002"/>
    <n v="12"/>
    <m/>
    <x v="0"/>
    <n v="4"/>
    <n v="8"/>
    <s v="Sem Alteração"/>
    <x v="1"/>
  </r>
  <r>
    <s v="7452203"/>
    <s v="ENXERTO VASC PTFE ANELADO 7MM X 50CM"/>
    <n v="0"/>
    <n v="0"/>
    <n v="0"/>
    <n v="0"/>
    <n v="1935"/>
    <n v="1876.95"/>
    <d v="2023-06-22T00:00:00"/>
    <m/>
    <m/>
    <m/>
    <m/>
    <m/>
    <x v="0"/>
    <n v="0"/>
    <s v="Sem consumo"/>
    <s v="Sem consumo"/>
    <x v="2"/>
  </r>
  <r>
    <s v="26717"/>
    <s v="ENXERTO VASC PTFE RETO  5MM X 10 CM"/>
    <n v="0"/>
    <n v="0"/>
    <n v="0"/>
    <n v="1"/>
    <n v="820"/>
    <n v="820"/>
    <d v="2025-07-22T00:00:00"/>
    <m/>
    <m/>
    <n v="0"/>
    <n v="3"/>
    <m/>
    <x v="0"/>
    <n v="1"/>
    <n v="4"/>
    <s v="Sem Alteração"/>
    <x v="3"/>
  </r>
  <r>
    <s v="1823027"/>
    <s v="ENXERTO VASC PTFE RETO 18MM X 20CM"/>
    <n v="4"/>
    <n v="6"/>
    <n v="2"/>
    <n v="1"/>
    <n v="6741.6666666666997"/>
    <n v="7040"/>
    <d v="2026-04-13T00:00:00"/>
    <m/>
    <m/>
    <n v="4"/>
    <n v="3"/>
    <m/>
    <x v="0"/>
    <n v="1"/>
    <n v="0"/>
    <s v="Sem Alteração"/>
    <x v="0"/>
  </r>
  <r>
    <s v="1823030"/>
    <s v="ENXERTO VASC PTFE RETO 19MM x 35CM"/>
    <n v="0"/>
    <n v="0"/>
    <n v="0"/>
    <n v="0"/>
    <n v="2278.58"/>
    <n v="2278.58"/>
    <d v="2022-12-29T00:00:00"/>
    <m/>
    <m/>
    <m/>
    <m/>
    <m/>
    <x v="0"/>
    <n v="0"/>
    <s v="Sem consumo"/>
    <s v="Sem consumo"/>
    <x v="2"/>
  </r>
  <r>
    <s v="10081"/>
    <s v="ENXERTO VASC PTFE RETO 20MM X 20CM"/>
    <n v="6"/>
    <n v="8"/>
    <n v="2"/>
    <n v="0"/>
    <n v="9147.8356467014"/>
    <n v="6618"/>
    <d v="2026-03-04T00:00:00"/>
    <m/>
    <m/>
    <m/>
    <m/>
    <m/>
    <x v="0"/>
    <n v="0"/>
    <s v="Sem consumo"/>
    <s v="Sem consumo"/>
    <x v="2"/>
  </r>
  <r>
    <s v="7455470"/>
    <s v="ENXERTO VASC PTFE RETO 3,5MM X 10CM"/>
    <n v="0"/>
    <n v="2"/>
    <n v="2"/>
    <n v="1"/>
    <n v="820"/>
    <n v="820"/>
    <d v="2026-03-18T00:00:00"/>
    <m/>
    <m/>
    <n v="0"/>
    <n v="3"/>
    <m/>
    <x v="0"/>
    <n v="1"/>
    <n v="4"/>
    <s v="Sem Alteração"/>
    <x v="3"/>
  </r>
  <r>
    <s v="1823243"/>
    <s v="ENXERTO VASC PTFE RETO 3MM X 10CM"/>
    <n v="0"/>
    <n v="0"/>
    <n v="0"/>
    <n v="0"/>
    <n v="1829.1"/>
    <n v="1400"/>
    <d v="2023-08-30T00:00:00"/>
    <m/>
    <m/>
    <m/>
    <m/>
    <m/>
    <x v="0"/>
    <n v="0"/>
    <s v="Sem consumo"/>
    <s v="Sem consumo"/>
    <x v="2"/>
  </r>
  <r>
    <s v="7451645"/>
    <s v="ENXERTO VASC PTFE RETO 4MM x 10CM"/>
    <n v="0"/>
    <n v="0"/>
    <n v="0"/>
    <n v="1"/>
    <n v="820"/>
    <n v="820"/>
    <d v="2026-03-18T00:00:00"/>
    <m/>
    <m/>
    <n v="0"/>
    <n v="3"/>
    <m/>
    <x v="0"/>
    <n v="1"/>
    <n v="4"/>
    <s v="Sem Alteração"/>
    <x v="3"/>
  </r>
  <r>
    <s v="1823026"/>
    <s v="ENXERTO VASC PTFE RETO 5 X 70CM"/>
    <n v="3"/>
    <n v="5"/>
    <n v="2"/>
    <n v="0"/>
    <n v="1795.54"/>
    <n v="1761.98"/>
    <d v="2024-04-22T00:00:00"/>
    <m/>
    <m/>
    <m/>
    <m/>
    <m/>
    <x v="0"/>
    <n v="0"/>
    <s v="Sem consumo"/>
    <s v="Sem consumo"/>
    <x v="2"/>
  </r>
  <r>
    <s v="1820256"/>
    <s v="ENXERTO VASC PTFE RETO 5MM X 40CM"/>
    <n v="2"/>
    <n v="4"/>
    <n v="2"/>
    <n v="3"/>
    <n v="1653.2251655550001"/>
    <n v="1970"/>
    <d v="2025-10-31T00:00:00"/>
    <m/>
    <m/>
    <n v="0.7"/>
    <n v="9"/>
    <m/>
    <x v="0"/>
    <n v="3"/>
    <n v="10"/>
    <s v="Sem Alteração"/>
    <x v="3"/>
  </r>
  <r>
    <s v="7452154"/>
    <s v="ENXERTO VASC PTFE RETO 7 MMX 50CM"/>
    <n v="5"/>
    <n v="7"/>
    <n v="2"/>
    <n v="0"/>
    <n v="1459.5714285714"/>
    <n v="1765"/>
    <d v="2026-03-20T00:00:00"/>
    <m/>
    <m/>
    <m/>
    <m/>
    <m/>
    <x v="0"/>
    <n v="0"/>
    <s v="Sem consumo"/>
    <s v="Sem consumo"/>
    <x v="2"/>
  </r>
  <r>
    <s v="1823029"/>
    <s v="ENXERTO VASC PTFE RETO 8MM X 70CM"/>
    <n v="7"/>
    <n v="9"/>
    <n v="2"/>
    <n v="0"/>
    <n v="1319.6490694444001"/>
    <n v="1300"/>
    <d v="2026-03-03T00:00:00"/>
    <m/>
    <m/>
    <m/>
    <m/>
    <m/>
    <x v="0"/>
    <n v="0"/>
    <s v="Sem consumo"/>
    <s v="Sem consumo"/>
    <x v="2"/>
  </r>
  <r>
    <s v="10059"/>
    <s v="EQUIPO COOL POINT ABLAÇAO"/>
    <n v="1"/>
    <n v="1"/>
    <n v="0"/>
    <n v="0"/>
    <n v="1225"/>
    <n v="1225"/>
    <d v="2026-02-10T00:00:00"/>
    <m/>
    <m/>
    <m/>
    <m/>
    <m/>
    <x v="0"/>
    <n v="0"/>
    <s v="Sem consumo"/>
    <s v="Sem consumo"/>
    <x v="2"/>
  </r>
  <r>
    <s v="1820448"/>
    <s v="FIO GUIA  ASTATO XS 20  014MM X 300CM"/>
    <n v="12"/>
    <n v="12"/>
    <n v="0"/>
    <n v="0"/>
    <n v="962.03666666660001"/>
    <n v="990"/>
    <d v="2026-04-15T00:00:00"/>
    <m/>
    <m/>
    <m/>
    <m/>
    <m/>
    <x v="0"/>
    <n v="0"/>
    <s v="Sem consumo"/>
    <s v="Sem consumo"/>
    <x v="2"/>
  </r>
  <r>
    <s v="7454241"/>
    <s v="FIO GUIA 0,014 X 180 / 190 FLOPPY LS"/>
    <n v="122"/>
    <n v="164"/>
    <n v="42"/>
    <n v="19"/>
    <n v="146.26422307120001"/>
    <n v="145"/>
    <d v="2026-02-12T00:00:00"/>
    <m/>
    <m/>
    <n v="6.4"/>
    <n v="57"/>
    <m/>
    <x v="0"/>
    <n v="19"/>
    <n v="0"/>
    <s v="Sem Alteração"/>
    <x v="0"/>
  </r>
  <r>
    <s v="7450713"/>
    <s v="FIO GUIA 0,014 X 180 HYPERCOAT"/>
    <n v="0"/>
    <n v="0"/>
    <n v="0"/>
    <n v="0"/>
    <n v="637.82780309040004"/>
    <n v="295"/>
    <d v="2023-11-06T00:00:00"/>
    <m/>
    <m/>
    <m/>
    <m/>
    <m/>
    <x v="0"/>
    <n v="0"/>
    <s v="Sem consumo"/>
    <s v="Sem consumo"/>
    <x v="2"/>
  </r>
  <r>
    <s v="7450748"/>
    <s v="FIO GUIA 0,014 X 182 HIDROFILICO MS"/>
    <n v="1110"/>
    <n v="1157"/>
    <n v="47"/>
    <n v="237"/>
    <n v="145.13823546180001"/>
    <n v="145"/>
    <d v="2026-04-29T00:00:00"/>
    <s v="2026-05"/>
    <n v="20"/>
    <n v="4.7"/>
    <n v="711"/>
    <n v="8.4388185654008435E-2"/>
    <x v="0"/>
    <n v="237"/>
    <n v="0"/>
    <s v="Sem Alteração"/>
    <x v="0"/>
  </r>
  <r>
    <s v="7451591"/>
    <s v="FIO GUIA 0,014 X 190 HIDROFILICO BMW"/>
    <n v="277"/>
    <n v="300"/>
    <n v="23"/>
    <n v="48"/>
    <n v="165.02450008689999"/>
    <n v="175"/>
    <d v="2026-04-20T00:00:00"/>
    <m/>
    <m/>
    <n v="5.8"/>
    <n v="144"/>
    <m/>
    <x v="0"/>
    <n v="48"/>
    <n v="0"/>
    <s v="Sem Alteração"/>
    <x v="0"/>
  </r>
  <r>
    <s v="7453722"/>
    <s v="FIO GUIA 0,014 X 190 HIDROFILICO ES"/>
    <n v="68"/>
    <n v="95"/>
    <n v="27"/>
    <n v="27"/>
    <n v="154.682308189"/>
    <n v="145"/>
    <d v="2026-02-12T00:00:00"/>
    <m/>
    <m/>
    <n v="2.5"/>
    <n v="81"/>
    <m/>
    <x v="0"/>
    <n v="27"/>
    <n v="41"/>
    <s v="Sem Alteração"/>
    <x v="1"/>
  </r>
  <r>
    <s v="7453435"/>
    <s v="FIO GUIA 0,014 X 300 HIDROFILICO"/>
    <n v="36"/>
    <n v="54"/>
    <n v="18"/>
    <n v="7"/>
    <n v="202.78477834590001"/>
    <n v="200"/>
    <d v="2026-03-16T00:00:00"/>
    <m/>
    <m/>
    <n v="5.0999999999999996"/>
    <n v="21"/>
    <m/>
    <x v="0"/>
    <n v="7"/>
    <n v="0"/>
    <s v="Sem Alteração"/>
    <x v="0"/>
  </r>
  <r>
    <s v="1822060"/>
    <s v="FIO GUIA 0,018 X 300 HIDROFILICO"/>
    <n v="123"/>
    <n v="145"/>
    <n v="22"/>
    <n v="27"/>
    <n v="290.05536523879999"/>
    <n v="280"/>
    <d v="2026-03-03T00:00:00"/>
    <m/>
    <m/>
    <n v="4.5999999999999996"/>
    <n v="81"/>
    <m/>
    <x v="0"/>
    <n v="27"/>
    <n v="0"/>
    <s v="Sem Alteração"/>
    <x v="0"/>
  </r>
  <r>
    <s v="7451358"/>
    <s v="FIO GUIA 0,035 X 150 PTFE PONTA RETA"/>
    <n v="0"/>
    <n v="0"/>
    <n v="0"/>
    <n v="0"/>
    <n v="16.2"/>
    <n v="500"/>
    <d v="2023-12-01T00:00:00"/>
    <m/>
    <m/>
    <m/>
    <m/>
    <m/>
    <x v="0"/>
    <n v="0"/>
    <s v="Sem consumo"/>
    <s v="Sem consumo"/>
    <x v="2"/>
  </r>
  <r>
    <s v="1820638"/>
    <s v="FIO GUIA 0,035 X 150/180 HIDROFILICO"/>
    <n v="709"/>
    <n v="780"/>
    <n v="71"/>
    <n v="342"/>
    <n v="59.888604840399999"/>
    <n v="44.1"/>
    <d v="2026-04-02T00:00:00"/>
    <s v="2026-05"/>
    <n v="15"/>
    <n v="2.1"/>
    <n v="1026"/>
    <n v="4.3859649122807015E-2"/>
    <x v="0"/>
    <n v="342"/>
    <n v="650"/>
    <s v="Sem Alteração"/>
    <x v="1"/>
  </r>
  <r>
    <s v="7452463"/>
    <s v="FIO GUIA 0,035 X 260 HIDROFILICO"/>
    <n v="462"/>
    <n v="516"/>
    <n v="54"/>
    <n v="81"/>
    <n v="113.1983362738"/>
    <n v="129"/>
    <d v="2026-04-01T00:00:00"/>
    <m/>
    <m/>
    <n v="5.7"/>
    <n v="243"/>
    <m/>
    <x v="0"/>
    <n v="81"/>
    <n v="0"/>
    <s v="Sem Alteração"/>
    <x v="0"/>
  </r>
  <r>
    <s v="1899392"/>
    <s v="FIO GUIA 0,035 X 260 HIDROFILICO PT RETA"/>
    <n v="62"/>
    <n v="80"/>
    <n v="18"/>
    <n v="3"/>
    <n v="167.74443939400001"/>
    <n v="165.48"/>
    <d v="2026-04-01T00:00:00"/>
    <m/>
    <m/>
    <n v="20.7"/>
    <n v="9"/>
    <m/>
    <x v="0"/>
    <n v="3"/>
    <n v="0"/>
    <s v="Sem Alteração"/>
    <x v="0"/>
  </r>
  <r>
    <s v="7453672"/>
    <s v="FIO GUIA 0,035 X 260 PTFE LUNDERQUIST"/>
    <n v="21"/>
    <n v="46"/>
    <n v="25"/>
    <n v="3"/>
    <n v="19.488532359699999"/>
    <n v="500"/>
    <d v="2025-09-09T00:00:00"/>
    <m/>
    <m/>
    <n v="7"/>
    <n v="9"/>
    <m/>
    <x v="0"/>
    <n v="3"/>
    <n v="0"/>
    <s v="Sem Alteração"/>
    <x v="0"/>
  </r>
  <r>
    <s v="23986"/>
    <s v="FIO GUIA 0,035 X 260CM - DUPLA CURVA"/>
    <n v="8"/>
    <n v="15"/>
    <n v="7"/>
    <n v="16"/>
    <n v="604.6670853764"/>
    <n v="625"/>
    <d v="2026-02-09T00:00:00"/>
    <m/>
    <m/>
    <n v="0.5"/>
    <n v="48"/>
    <m/>
    <x v="0"/>
    <n v="16"/>
    <n v="56"/>
    <s v="Sem Alteração"/>
    <x v="3"/>
  </r>
  <r>
    <s v="26402"/>
    <s v="FIO GUIA 0,035 x 300 RETA SUPRA CORE"/>
    <n v="9"/>
    <n v="23"/>
    <n v="14"/>
    <n v="0"/>
    <n v="190"/>
    <n v="190"/>
    <d v="2025-09-19T00:00:00"/>
    <m/>
    <m/>
    <m/>
    <m/>
    <m/>
    <x v="0"/>
    <n v="0"/>
    <s v="Sem consumo"/>
    <s v="Sem consumo"/>
    <x v="2"/>
  </r>
  <r>
    <s v="1800134"/>
    <s v="FIO GUIA 0,035x150/180 PTFE"/>
    <n v="2461"/>
    <n v="2549"/>
    <n v="88"/>
    <n v="498"/>
    <n v="16.8294538918"/>
    <n v="16.2"/>
    <d v="2026-04-29T00:00:00"/>
    <s v="2026-05"/>
    <n v="60"/>
    <n v="4.9000000000000004"/>
    <n v="1494"/>
    <n v="0.12048192771084337"/>
    <x v="0"/>
    <n v="498"/>
    <n v="0"/>
    <s v="Sem Alteração"/>
    <x v="0"/>
  </r>
  <r>
    <s v="1899393"/>
    <s v="FIO GUIA 0,035X260 AMPLATZ"/>
    <n v="17"/>
    <n v="20"/>
    <n v="3"/>
    <n v="5"/>
    <n v="319.88210181310001"/>
    <n v="349.99"/>
    <d v="2026-03-19T00:00:00"/>
    <m/>
    <m/>
    <n v="3.4"/>
    <n v="15"/>
    <m/>
    <x v="0"/>
    <n v="5"/>
    <n v="0"/>
    <s v="Sem Alteração"/>
    <x v="0"/>
  </r>
  <r>
    <s v="22515"/>
    <s v="FIO GUIA 0,035X260 ROSEN"/>
    <n v="24"/>
    <n v="36"/>
    <n v="12"/>
    <n v="15"/>
    <n v="345.63240076"/>
    <n v="349.99"/>
    <d v="2026-04-27T00:00:00"/>
    <m/>
    <m/>
    <n v="1.6"/>
    <n v="45"/>
    <m/>
    <x v="0"/>
    <n v="15"/>
    <n v="36"/>
    <s v="Sem Alteração"/>
    <x v="1"/>
  </r>
  <r>
    <s v="7451300"/>
    <s v="FIO GUIA FLOPPY LS 0,014 X 182 PT J"/>
    <n v="0"/>
    <n v="0"/>
    <n v="0"/>
    <n v="0"/>
    <n v="201.4"/>
    <n v="212"/>
    <d v="2023-03-27T00:00:00"/>
    <m/>
    <m/>
    <m/>
    <m/>
    <m/>
    <x v="0"/>
    <n v="0"/>
    <s v="Sem consumo"/>
    <s v="Sem consumo"/>
    <x v="2"/>
  </r>
  <r>
    <s v="1820267"/>
    <s v="FIO GUIA HIDROF. 0,035 X 150 PT RETA"/>
    <n v="20"/>
    <n v="41"/>
    <n v="21"/>
    <n v="6"/>
    <n v="86.496751084600007"/>
    <n v="80"/>
    <d v="2025-12-10T00:00:00"/>
    <m/>
    <m/>
    <n v="3.3"/>
    <n v="18"/>
    <m/>
    <x v="0"/>
    <n v="6"/>
    <n v="0"/>
    <s v="Sem Alteração"/>
    <x v="0"/>
  </r>
  <r>
    <s v="26671"/>
    <s v="FIO GUIA HIDROFILICO 035X260 ARES"/>
    <n v="14"/>
    <n v="16"/>
    <n v="2"/>
    <n v="0"/>
    <n v="170"/>
    <n v="170"/>
    <d v="2025-06-26T00:00:00"/>
    <m/>
    <m/>
    <m/>
    <m/>
    <m/>
    <x v="0"/>
    <n v="0"/>
    <s v="Sem consumo"/>
    <s v="Sem consumo"/>
    <x v="2"/>
  </r>
  <r>
    <s v="1820615"/>
    <s v="FIO GUIA HIDROFILICO 035X260 ROADRUNNER"/>
    <n v="16"/>
    <n v="24"/>
    <n v="8"/>
    <n v="12"/>
    <n v="343.89337456940001"/>
    <n v="342"/>
    <d v="2026-04-27T00:00:00"/>
    <m/>
    <m/>
    <n v="1.3"/>
    <n v="36"/>
    <m/>
    <x v="0"/>
    <n v="12"/>
    <n v="33"/>
    <s v="Sem Alteração"/>
    <x v="1"/>
  </r>
  <r>
    <s v="7451600"/>
    <s v="FIO GUIA HT PILOT 200  0,014 X 190"/>
    <n v="10"/>
    <n v="15"/>
    <n v="5"/>
    <n v="5"/>
    <n v="183"/>
    <n v="183"/>
    <d v="2026-03-26T00:00:00"/>
    <s v="2026-05"/>
    <n v="2"/>
    <n v="2"/>
    <n v="15"/>
    <n v="0.4"/>
    <x v="0"/>
    <n v="5"/>
    <n v="10"/>
    <s v="Sem Alteração"/>
    <x v="1"/>
  </r>
  <r>
    <s v="7453576"/>
    <s v="FIO GUIA HT PILOT 50  0,014 X 190"/>
    <n v="26"/>
    <n v="40"/>
    <n v="14"/>
    <n v="9"/>
    <n v="177.76061437019999"/>
    <n v="183"/>
    <d v="2026-04-13T00:00:00"/>
    <m/>
    <m/>
    <n v="2.9"/>
    <n v="27"/>
    <m/>
    <x v="0"/>
    <n v="9"/>
    <n v="10"/>
    <s v="Sem Alteração"/>
    <x v="1"/>
  </r>
  <r>
    <s v="7453539"/>
    <s v="FIO GUIA PROGRESS - 80 0,014 X 190"/>
    <n v="11"/>
    <n v="23"/>
    <n v="12"/>
    <n v="0"/>
    <n v="174"/>
    <n v="174"/>
    <d v="2025-11-13T00:00:00"/>
    <m/>
    <m/>
    <m/>
    <m/>
    <m/>
    <x v="0"/>
    <n v="0"/>
    <s v="Sem consumo"/>
    <s v="Sem consumo"/>
    <x v="2"/>
  </r>
  <r>
    <s v="7450747"/>
    <s v="FIO GUIA PROGRESS-40 0,014 X 190"/>
    <n v="1"/>
    <n v="7"/>
    <n v="6"/>
    <n v="0"/>
    <n v="174"/>
    <n v="174"/>
    <d v="2025-11-13T00:00:00"/>
    <m/>
    <m/>
    <m/>
    <m/>
    <m/>
    <x v="0"/>
    <n v="0"/>
    <s v="Sem consumo"/>
    <s v="Sem consumo"/>
    <x v="2"/>
  </r>
  <r>
    <s v="7451166"/>
    <s v="FIO GUIA PTFE 0,035 X 260 PONTA J"/>
    <n v="12"/>
    <n v="35"/>
    <n v="23"/>
    <n v="2"/>
    <n v="168.45709945190001"/>
    <n v="180"/>
    <d v="2025-11-14T00:00:00"/>
    <m/>
    <m/>
    <n v="6"/>
    <n v="6"/>
    <m/>
    <x v="0"/>
    <n v="2"/>
    <n v="0"/>
    <s v="Sem Alteração"/>
    <x v="0"/>
  </r>
  <r>
    <s v="6465"/>
    <s v="FIO MARCAPASSO 2-0 2x60cm (1/2) 26mm"/>
    <n v="815"/>
    <n v="917"/>
    <n v="102"/>
    <n v="168"/>
    <n v="41.186324348799999"/>
    <n v="39"/>
    <d v="2026-04-23T00:00:00"/>
    <m/>
    <m/>
    <n v="4.9000000000000004"/>
    <n v="504"/>
    <m/>
    <x v="0"/>
    <n v="168"/>
    <n v="0"/>
    <s v="Sem Alteração"/>
    <x v="0"/>
  </r>
  <r>
    <s v="11877"/>
    <s v="GRAMPEADOR CIRCULAR 21MM"/>
    <n v="1"/>
    <n v="2"/>
    <n v="1"/>
    <n v="0"/>
    <n v="600"/>
    <n v="600"/>
    <d v="2025-02-07T00:00:00"/>
    <m/>
    <m/>
    <m/>
    <m/>
    <m/>
    <x v="0"/>
    <n v="0"/>
    <s v="Sem consumo"/>
    <s v="Sem consumo"/>
    <x v="2"/>
  </r>
  <r>
    <s v="11879"/>
    <s v="GRAMPEADOR CIRCULAR 25 MM"/>
    <n v="1"/>
    <n v="2"/>
    <n v="1"/>
    <n v="0"/>
    <n v="946.85"/>
    <n v="946.85"/>
    <d v="2023-03-22T00:00:00"/>
    <m/>
    <m/>
    <m/>
    <m/>
    <m/>
    <x v="0"/>
    <n v="0"/>
    <s v="Sem consumo"/>
    <s v="Sem consumo"/>
    <x v="2"/>
  </r>
  <r>
    <s v="6667"/>
    <s v="GRAMPEADOR CIRCULAR 33MM"/>
    <n v="3"/>
    <n v="4"/>
    <n v="1"/>
    <n v="0"/>
    <n v="600"/>
    <n v="600"/>
    <d v="2025-04-24T00:00:00"/>
    <m/>
    <m/>
    <m/>
    <m/>
    <m/>
    <x v="0"/>
    <n v="0"/>
    <s v="Sem consumo"/>
    <s v="Sem consumo"/>
    <x v="2"/>
  </r>
  <r>
    <s v="10589"/>
    <s v="GRAMPEADOR CURVO CORTANTE 40MM"/>
    <n v="5"/>
    <n v="7"/>
    <n v="2"/>
    <n v="0"/>
    <n v="1305.2742857143"/>
    <n v="1128.5999999999999"/>
    <d v="2026-02-24T00:00:00"/>
    <m/>
    <m/>
    <m/>
    <m/>
    <m/>
    <x v="0"/>
    <n v="0"/>
    <s v="Sem consumo"/>
    <s v="Sem consumo"/>
    <x v="2"/>
  </r>
  <r>
    <s v="6663"/>
    <s v="GRAMPEADOR LINEAR 100"/>
    <n v="3"/>
    <n v="5"/>
    <n v="2"/>
    <n v="0"/>
    <n v="520.41399999999999"/>
    <n v="467.51"/>
    <d v="2025-11-26T00:00:00"/>
    <m/>
    <m/>
    <m/>
    <m/>
    <m/>
    <x v="0"/>
    <n v="0"/>
    <s v="Sem consumo"/>
    <s v="Sem consumo"/>
    <x v="2"/>
  </r>
  <r>
    <s v="11876"/>
    <s v="GRAMPEADOR LINEAR 60 MM"/>
    <n v="2"/>
    <n v="3"/>
    <n v="1"/>
    <n v="0"/>
    <n v="836.0835185185"/>
    <n v="592"/>
    <d v="2026-03-24T00:00:00"/>
    <m/>
    <m/>
    <m/>
    <m/>
    <m/>
    <x v="0"/>
    <n v="0"/>
    <s v="Sem consumo"/>
    <s v="Sem consumo"/>
    <x v="2"/>
  </r>
  <r>
    <s v="7452507"/>
    <s v="GRAMPEADOR LINEAR 75MM"/>
    <n v="7"/>
    <n v="9"/>
    <n v="2"/>
    <n v="2"/>
    <n v="488.1433822107"/>
    <n v="468.46"/>
    <d v="2026-03-27T00:00:00"/>
    <m/>
    <m/>
    <n v="3.5"/>
    <n v="6"/>
    <m/>
    <x v="0"/>
    <n v="2"/>
    <n v="0"/>
    <s v="Sem Alteração"/>
    <x v="0"/>
  </r>
  <r>
    <s v="10825"/>
    <s v="INSUFLADOR P/ CATETER BALAO"/>
    <n v="847"/>
    <n v="909"/>
    <n v="62"/>
    <n v="278"/>
    <n v="50.697138262199999"/>
    <n v="47.48"/>
    <d v="2026-03-24T00:00:00"/>
    <s v="2026-05"/>
    <n v="20"/>
    <n v="3"/>
    <n v="834"/>
    <n v="7.1942446043165464E-2"/>
    <x v="0"/>
    <n v="278"/>
    <n v="278"/>
    <s v="Sem Alteração"/>
    <x v="1"/>
  </r>
  <r>
    <s v="11508"/>
    <s v="INTRODUTOR P/ ELETRODO 10FR"/>
    <n v="44"/>
    <n v="44"/>
    <n v="0"/>
    <n v="0"/>
    <n v="113.7163604854"/>
    <n v="159.13"/>
    <d v="2025-10-21T00:00:00"/>
    <m/>
    <m/>
    <m/>
    <m/>
    <m/>
    <x v="0"/>
    <n v="0"/>
    <s v="Sem consumo"/>
    <s v="Sem consumo"/>
    <x v="2"/>
  </r>
  <r>
    <s v="7451188"/>
    <s v="INTRODUTOR P/ ELETRODO 9FR"/>
    <n v="67"/>
    <n v="76"/>
    <n v="9"/>
    <n v="9"/>
    <n v="141.3117044752"/>
    <n v="159"/>
    <d v="2025-10-17T00:00:00"/>
    <m/>
    <m/>
    <n v="7.4"/>
    <n v="27"/>
    <m/>
    <x v="0"/>
    <n v="9"/>
    <n v="0"/>
    <s v="Sem Alteração"/>
    <x v="0"/>
  </r>
  <r>
    <s v="7452830"/>
    <s v="INTRODUTOR PERCUTANEO 8,5FR P/SWAN GANZ"/>
    <n v="7"/>
    <n v="10"/>
    <n v="3"/>
    <n v="2"/>
    <n v="540.07601549000003"/>
    <n v="550"/>
    <d v="2025-08-12T00:00:00"/>
    <m/>
    <m/>
    <n v="3.5"/>
    <n v="6"/>
    <m/>
    <x v="0"/>
    <n v="2"/>
    <n v="0"/>
    <s v="Sem Alteração"/>
    <x v="0"/>
  </r>
  <r>
    <s v="1823304"/>
    <s v="INTRODUTOR VALV FEMORAL 10FR 11CM C/AG"/>
    <n v="19"/>
    <n v="33"/>
    <n v="14"/>
    <n v="2"/>
    <n v="78.260087608600003"/>
    <n v="45"/>
    <d v="2026-03-12T00:00:00"/>
    <m/>
    <m/>
    <n v="9.5"/>
    <n v="6"/>
    <m/>
    <x v="0"/>
    <n v="2"/>
    <n v="0"/>
    <s v="Sem Alteração"/>
    <x v="0"/>
  </r>
  <r>
    <s v="22288"/>
    <s v="INTRODUTOR VALV FEMORAL 11FR 10CM C/AG"/>
    <n v="0"/>
    <n v="0"/>
    <n v="0"/>
    <n v="0"/>
    <n v="93.666666666699996"/>
    <n v="94"/>
    <d v="2023-08-30T00:00:00"/>
    <m/>
    <m/>
    <m/>
    <m/>
    <m/>
    <x v="0"/>
    <n v="0"/>
    <s v="Sem consumo"/>
    <s v="Sem consumo"/>
    <x v="2"/>
  </r>
  <r>
    <s v="11526"/>
    <s v="INTRODUTOR VALV FEMORAL 5FR 11CM C/AG"/>
    <n v="221"/>
    <n v="286"/>
    <n v="65"/>
    <n v="83"/>
    <n v="43.439568336299999"/>
    <n v="44.99"/>
    <d v="2025-12-01T00:00:00"/>
    <s v="2026-05"/>
    <n v="5"/>
    <n v="2.7"/>
    <n v="249"/>
    <n v="6.0240963855421686E-2"/>
    <x v="0"/>
    <n v="83"/>
    <n v="108"/>
    <s v="Sem Alteração"/>
    <x v="1"/>
  </r>
  <r>
    <s v="11527"/>
    <s v="INTRODUTOR VALV FEMORAL 6FR 11CM"/>
    <n v="808"/>
    <n v="890"/>
    <n v="82"/>
    <n v="104"/>
    <n v="44.595673178299997"/>
    <n v="44.99"/>
    <d v="2026-01-29T00:00:00"/>
    <s v="2026-05"/>
    <n v="25"/>
    <n v="7.8"/>
    <n v="312"/>
    <n v="0.24038461538461539"/>
    <x v="0"/>
    <n v="104"/>
    <n v="0"/>
    <s v="Sem Alteração"/>
    <x v="0"/>
  </r>
  <r>
    <s v="11363"/>
    <s v="INTRODUTOR VALV FEMORAL 7FR 11CM"/>
    <n v="184"/>
    <n v="219"/>
    <n v="35"/>
    <n v="43"/>
    <n v="30.965239239900001"/>
    <n v="23.69"/>
    <d v="2026-02-12T00:00:00"/>
    <s v="2026-05"/>
    <n v="10"/>
    <n v="4.3"/>
    <n v="129"/>
    <n v="0.23255813953488372"/>
    <x v="0"/>
    <n v="43"/>
    <n v="0"/>
    <s v="Sem Alteração"/>
    <x v="0"/>
  </r>
  <r>
    <s v="1820278"/>
    <s v="INTRODUTOR VALV FEMORAL 8FR 11CM"/>
    <n v="58"/>
    <n v="80"/>
    <n v="22"/>
    <n v="21"/>
    <n v="28.5356169384"/>
    <n v="29.57"/>
    <d v="2026-02-23T00:00:00"/>
    <s v="2026-05"/>
    <n v="2"/>
    <n v="2.8"/>
    <n v="63"/>
    <n v="9.5238095238095233E-2"/>
    <x v="0"/>
    <n v="21"/>
    <n v="26"/>
    <s v="Sem Alteração"/>
    <x v="1"/>
  </r>
  <r>
    <s v="7452473"/>
    <s v="INTRODUTOR VALV FEMORAL 9FR 10CM"/>
    <n v="13"/>
    <n v="23"/>
    <n v="10"/>
    <n v="4"/>
    <n v="44.493016580800003"/>
    <n v="45"/>
    <d v="2026-02-12T00:00:00"/>
    <m/>
    <m/>
    <n v="3.2"/>
    <n v="12"/>
    <m/>
    <x v="0"/>
    <n v="4"/>
    <n v="0"/>
    <s v="Sem Alteração"/>
    <x v="0"/>
  </r>
  <r>
    <s v="1820628"/>
    <s v="INTRODUTOR VALV RADIAL 5FR 11CM C/AG"/>
    <n v="311"/>
    <n v="413"/>
    <n v="102"/>
    <n v="227"/>
    <n v="40.262547430600002"/>
    <n v="31.7"/>
    <d v="2026-02-13T00:00:00"/>
    <s v="2026-05"/>
    <n v="20"/>
    <n v="1.4"/>
    <n v="681"/>
    <n v="8.8105726872246701E-2"/>
    <x v="0"/>
    <n v="227"/>
    <n v="591"/>
    <s v="Sem Alteração"/>
    <x v="1"/>
  </r>
  <r>
    <s v="1820629"/>
    <s v="INTRODUTOR VALV RADIAL 6FR 11CM C/AG"/>
    <n v="1154"/>
    <n v="1263"/>
    <n v="109"/>
    <n v="386"/>
    <n v="47.098602214300001"/>
    <n v="24.98"/>
    <d v="2026-04-30T00:00:00"/>
    <s v="2026-05"/>
    <n v="40"/>
    <n v="3"/>
    <n v="1158"/>
    <n v="0.10362694300518134"/>
    <x v="0"/>
    <n v="386"/>
    <n v="386"/>
    <s v="Sem Alteração"/>
    <x v="1"/>
  </r>
  <r>
    <s v="27225"/>
    <s v="KIT CANULA CARDIOPLEGIA OSTIO 17FR"/>
    <n v="0"/>
    <n v="2"/>
    <n v="2"/>
    <n v="0"/>
    <n v="480.3"/>
    <n v="480.3"/>
    <d v="2026-04-02T00:00:00"/>
    <m/>
    <m/>
    <m/>
    <m/>
    <m/>
    <x v="0"/>
    <n v="0"/>
    <s v="Sem consumo"/>
    <s v="Sem consumo"/>
    <x v="2"/>
  </r>
  <r>
    <s v="8671"/>
    <s v="KIT CAT ARTERIAL FEMORAL 18Gx12CM"/>
    <n v="111"/>
    <n v="142"/>
    <n v="31"/>
    <n v="20"/>
    <n v="97.223762543500001"/>
    <n v="101.25"/>
    <d v="2026-04-23T00:00:00"/>
    <m/>
    <m/>
    <n v="5.6"/>
    <n v="60"/>
    <m/>
    <x v="0"/>
    <n v="20"/>
    <n v="0"/>
    <s v="Sem Alteração"/>
    <x v="0"/>
  </r>
  <r>
    <s v="1800281"/>
    <s v="KIT CAT ARTERIAL RADIAL 20G"/>
    <n v="541"/>
    <n v="644"/>
    <n v="103"/>
    <n v="244"/>
    <n v="79.669449053400001"/>
    <n v="81.99"/>
    <d v="2026-03-19T00:00:00"/>
    <s v="2026-05"/>
    <n v="10"/>
    <n v="2.2000000000000002"/>
    <n v="732"/>
    <n v="4.0983606557377046E-2"/>
    <x v="0"/>
    <n v="244"/>
    <n v="440"/>
    <s v="Sem Alteração"/>
    <x v="1"/>
  </r>
  <r>
    <s v="11897"/>
    <s v="KIT CAT ARTERIAL RADIAL 22G"/>
    <n v="106"/>
    <n v="151"/>
    <n v="45"/>
    <n v="39"/>
    <n v="92.610036757499998"/>
    <n v="101"/>
    <d v="2026-02-06T00:00:00"/>
    <m/>
    <m/>
    <n v="2.7"/>
    <n v="117"/>
    <m/>
    <x v="0"/>
    <n v="39"/>
    <n v="51"/>
    <s v="Sem Alteração"/>
    <x v="1"/>
  </r>
  <r>
    <s v="7452179"/>
    <s v="KIT CAT ARTERIAL RADIAL 24G"/>
    <n v="20"/>
    <n v="36"/>
    <n v="16"/>
    <n v="6"/>
    <n v="108.1876313372"/>
    <n v="119.95"/>
    <d v="2026-04-23T00:00:00"/>
    <m/>
    <m/>
    <n v="3.3"/>
    <n v="18"/>
    <m/>
    <x v="0"/>
    <n v="6"/>
    <n v="0"/>
    <s v="Sem Alteração"/>
    <x v="0"/>
  </r>
  <r>
    <s v="1800136"/>
    <s v="KIT CISTOSTOMIA 12F"/>
    <n v="18"/>
    <n v="21"/>
    <n v="3"/>
    <n v="0"/>
    <n v="260.43650892860001"/>
    <n v="259.8"/>
    <d v="2025-02-20T00:00:00"/>
    <m/>
    <m/>
    <m/>
    <m/>
    <m/>
    <x v="0"/>
    <n v="0"/>
    <s v="Sem consumo"/>
    <s v="Sem consumo"/>
    <x v="2"/>
  </r>
  <r>
    <s v="25546"/>
    <s v="KIT CVVHD EMIC"/>
    <n v="4"/>
    <n v="11"/>
    <n v="7"/>
    <n v="5"/>
    <n v="1233.3097499999999"/>
    <n v="1237.3800000000001"/>
    <d v="2025-11-26T00:00:00"/>
    <m/>
    <m/>
    <n v="0.8"/>
    <n v="15"/>
    <m/>
    <x v="0"/>
    <n v="5"/>
    <n v="16"/>
    <s v="Sem Alteração"/>
    <x v="3"/>
  </r>
  <r>
    <s v="25545"/>
    <s v="KIT CVVHDF 1000"/>
    <n v="15"/>
    <n v="17"/>
    <n v="2"/>
    <n v="0"/>
    <n v="1242.4859787998"/>
    <n v="1237.3800000000001"/>
    <d v="2025-11-26T00:00:00"/>
    <m/>
    <m/>
    <m/>
    <m/>
    <m/>
    <x v="0"/>
    <n v="0"/>
    <s v="Sem consumo"/>
    <s v="Sem consumo"/>
    <x v="2"/>
  </r>
  <r>
    <s v="26842"/>
    <s v="KIT INTRO. DE INSERC.PERCU.PIK150"/>
    <n v="4"/>
    <n v="5"/>
    <n v="1"/>
    <n v="1"/>
    <n v="920"/>
    <n v="1000"/>
    <d v="2026-04-22T00:00:00"/>
    <m/>
    <m/>
    <n v="4"/>
    <n v="3"/>
    <m/>
    <x v="0"/>
    <n v="1"/>
    <n v="0"/>
    <s v="Sem Alteração"/>
    <x v="0"/>
  </r>
  <r>
    <s v="10368"/>
    <s v="KIT NEFROSTOMIA 8.5 FR"/>
    <n v="5"/>
    <n v="8"/>
    <n v="3"/>
    <n v="0"/>
    <n v="566.15625"/>
    <n v="335.1"/>
    <d v="2026-03-20T00:00:00"/>
    <m/>
    <m/>
    <m/>
    <m/>
    <m/>
    <x v="0"/>
    <n v="0"/>
    <s v="Sem consumo"/>
    <s v="Sem consumo"/>
    <x v="2"/>
  </r>
  <r>
    <s v="7452934"/>
    <s v="KIT PRISMA HF20"/>
    <n v="5"/>
    <n v="5"/>
    <n v="0"/>
    <n v="0"/>
    <n v="1960"/>
    <n v="1960"/>
    <d v="2025-09-05T00:00:00"/>
    <m/>
    <m/>
    <m/>
    <m/>
    <m/>
    <x v="0"/>
    <n v="0"/>
    <s v="Sem consumo"/>
    <s v="Sem consumo"/>
    <x v="2"/>
  </r>
  <r>
    <s v="8924"/>
    <s v="KIT PRISMA M100"/>
    <n v="2"/>
    <n v="4"/>
    <n v="2"/>
    <n v="0"/>
    <n v="1920"/>
    <n v="1920"/>
    <d v="2025-09-05T00:00:00"/>
    <m/>
    <m/>
    <m/>
    <m/>
    <m/>
    <x v="0"/>
    <n v="0"/>
    <s v="Sem consumo"/>
    <s v="Sem consumo"/>
    <x v="2"/>
  </r>
  <r>
    <s v="8923"/>
    <s v="KIT PRISMA M60"/>
    <n v="2"/>
    <n v="4"/>
    <n v="2"/>
    <n v="3"/>
    <n v="1934.6694666665001"/>
    <n v="2030"/>
    <d v="2026-04-14T00:00:00"/>
    <m/>
    <m/>
    <n v="0.7"/>
    <n v="9"/>
    <m/>
    <x v="0"/>
    <n v="3"/>
    <n v="10"/>
    <s v="Sem Alteração"/>
    <x v="3"/>
  </r>
  <r>
    <s v="8926"/>
    <s v="KIT PRISMA TPE 2000"/>
    <n v="38"/>
    <n v="44"/>
    <n v="6"/>
    <n v="5"/>
    <n v="1979.9218526872"/>
    <n v="1980"/>
    <d v="2026-03-19T00:00:00"/>
    <m/>
    <m/>
    <n v="7.6"/>
    <n v="15"/>
    <m/>
    <x v="0"/>
    <n v="5"/>
    <n v="0"/>
    <s v="Sem Alteração"/>
    <x v="0"/>
  </r>
  <r>
    <s v="10999"/>
    <s v="MANIFOLD - 3 VALVULAS C / 5 VIAS"/>
    <n v="578"/>
    <n v="670"/>
    <n v="92"/>
    <n v="249"/>
    <n v="7.2638322415000003"/>
    <n v="7.27"/>
    <d v="2026-03-30T00:00:00"/>
    <s v="2026-05"/>
    <n v="10"/>
    <n v="2.2999999999999998"/>
    <n v="747"/>
    <n v="4.0160642570281124E-2"/>
    <x v="0"/>
    <n v="249"/>
    <n v="424"/>
    <s v="Sem Alteração"/>
    <x v="1"/>
  </r>
  <r>
    <s v="24379"/>
    <s v="PÁ P/ CARDIOVERSOR ADULTO (INSTRAMED)"/>
    <n v="17"/>
    <n v="29"/>
    <n v="12"/>
    <n v="5"/>
    <n v="260.73731717449999"/>
    <n v="267"/>
    <d v="2025-12-29T00:00:00"/>
    <m/>
    <m/>
    <n v="3.4"/>
    <n v="15"/>
    <m/>
    <x v="0"/>
    <n v="5"/>
    <n v="0"/>
    <s v="Sem Alteração"/>
    <x v="0"/>
  </r>
  <r>
    <s v="7452041"/>
    <s v="PÁ P/ CARDIOVERSOR ADULTO (NIH.KOHDEN)"/>
    <n v="4"/>
    <n v="11"/>
    <n v="7"/>
    <n v="2"/>
    <n v="296.7063636364"/>
    <n v="340"/>
    <d v="2026-04-14T00:00:00"/>
    <m/>
    <m/>
    <n v="2"/>
    <n v="6"/>
    <m/>
    <x v="0"/>
    <n v="2"/>
    <n v="4"/>
    <s v="Sem Alteração"/>
    <x v="1"/>
  </r>
  <r>
    <s v="22348"/>
    <s v="PÁ P/ CARDIOVERSOR ADULTO ZOLL"/>
    <n v="9"/>
    <n v="14"/>
    <n v="5"/>
    <n v="0"/>
    <n v="215.89620194619999"/>
    <n v="279"/>
    <d v="2025-12-29T00:00:00"/>
    <m/>
    <m/>
    <m/>
    <m/>
    <m/>
    <x v="0"/>
    <n v="0"/>
    <s v="Sem consumo"/>
    <s v="Sem consumo"/>
    <x v="2"/>
  </r>
  <r>
    <s v="24380"/>
    <s v="PÁ P/ CARDIOVERSOR INFANTIL (INSTRAMED)"/>
    <n v="11"/>
    <n v="16"/>
    <n v="5"/>
    <n v="3"/>
    <n v="448.50363116189999"/>
    <n v="484"/>
    <d v="2026-04-01T00:00:00"/>
    <m/>
    <m/>
    <n v="3.7"/>
    <n v="9"/>
    <m/>
    <x v="0"/>
    <n v="3"/>
    <n v="0"/>
    <s v="Sem Alteração"/>
    <x v="0"/>
  </r>
  <r>
    <s v="24013"/>
    <s v="PÁ P/ CARDIOVERSOR PEDIAT ZOLL"/>
    <n v="0"/>
    <n v="5"/>
    <n v="5"/>
    <n v="0"/>
    <n v="950"/>
    <n v="950"/>
    <d v="2023-11-27T00:00:00"/>
    <m/>
    <m/>
    <m/>
    <m/>
    <m/>
    <x v="0"/>
    <n v="0"/>
    <s v="Sem consumo"/>
    <s v="Sem consumo"/>
    <x v="2"/>
  </r>
  <r>
    <s v="7452232"/>
    <s v="PÁ P/ CARDIOVESOR ADULTO LIFEMED"/>
    <n v="19"/>
    <n v="29"/>
    <n v="10"/>
    <n v="1"/>
    <n v="648.26272616829999"/>
    <n v="650"/>
    <d v="2025-11-14T00:00:00"/>
    <m/>
    <m/>
    <n v="19"/>
    <n v="3"/>
    <m/>
    <x v="0"/>
    <n v="1"/>
    <n v="0"/>
    <s v="Sem Alteração"/>
    <x v="0"/>
  </r>
  <r>
    <s v="11274"/>
    <s v="PÁ P/ CARDIOVESOR PEDIATRICO LIFEMED"/>
    <n v="13"/>
    <n v="17"/>
    <n v="4"/>
    <n v="2"/>
    <n v="646.61419105269999"/>
    <n v="650"/>
    <d v="2025-11-14T00:00:00"/>
    <m/>
    <m/>
    <n v="6.5"/>
    <n v="6"/>
    <m/>
    <x v="0"/>
    <n v="2"/>
    <n v="0"/>
    <s v="Sem Alteração"/>
    <x v="0"/>
  </r>
  <r>
    <s v="23951"/>
    <s v="PÁ P/ DESFIBRILADOR ADULTO MINDRAY"/>
    <n v="9"/>
    <n v="25"/>
    <n v="16"/>
    <n v="11"/>
    <n v="413.63234450200002"/>
    <n v="500"/>
    <d v="2026-04-27T00:00:00"/>
    <m/>
    <m/>
    <n v="0.8"/>
    <n v="33"/>
    <m/>
    <x v="0"/>
    <n v="11"/>
    <n v="36"/>
    <s v="Sem Alteração"/>
    <x v="3"/>
  </r>
  <r>
    <s v="25200"/>
    <s v="PÁ P/ DESFIBRILADOR PEDIATRICA (MINDRA"/>
    <n v="0"/>
    <n v="0"/>
    <n v="0"/>
    <n v="0"/>
    <n v="535.25"/>
    <n v="535.25"/>
    <d v="2024-12-04T00:00:00"/>
    <m/>
    <m/>
    <m/>
    <m/>
    <m/>
    <x v="0"/>
    <n v="0"/>
    <s v="Sem consumo"/>
    <s v="Sem consumo"/>
    <x v="2"/>
  </r>
  <r>
    <s v="24274"/>
    <s v="PÁ P/ DESFIBRILADOR PEDIATRICA (NIH.KOHD"/>
    <n v="2"/>
    <n v="4"/>
    <n v="2"/>
    <n v="1"/>
    <n v="465"/>
    <n v="465"/>
    <d v="2026-03-19T00:00:00"/>
    <m/>
    <m/>
    <n v="2"/>
    <n v="3"/>
    <m/>
    <x v="0"/>
    <n v="1"/>
    <n v="2"/>
    <s v="Sem Alteração"/>
    <x v="1"/>
  </r>
  <r>
    <s v="10900"/>
    <s v="PATCH INORGANICO DE FELTRO 1MM 15X15CM"/>
    <n v="5"/>
    <n v="8"/>
    <n v="3"/>
    <n v="1"/>
    <n v="403.69"/>
    <n v="403.69"/>
    <d v="2026-03-17T00:00:00"/>
    <m/>
    <m/>
    <n v="5"/>
    <n v="3"/>
    <m/>
    <x v="0"/>
    <n v="1"/>
    <n v="0"/>
    <s v="Sem Alteração"/>
    <x v="0"/>
  </r>
  <r>
    <s v="9628"/>
    <s v="PATCH PERICARDIO BOVINO 6 X 11CM"/>
    <n v="79"/>
    <n v="103"/>
    <n v="24"/>
    <n v="47"/>
    <n v="295.52199341430003"/>
    <n v="292.05"/>
    <d v="2026-03-02T00:00:00"/>
    <m/>
    <m/>
    <n v="1.7"/>
    <n v="141"/>
    <m/>
    <x v="0"/>
    <n v="47"/>
    <n v="109"/>
    <s v="Sem Alteração"/>
    <x v="1"/>
  </r>
  <r>
    <s v="24261"/>
    <s v="PINÇA CIRURGICA ENDOSCÓPICA 5MM X 17CM"/>
    <n v="3"/>
    <n v="3"/>
    <n v="0"/>
    <n v="0"/>
    <n v="1936.3633333333"/>
    <n v="1874.67"/>
    <d v="2026-03-30T00:00:00"/>
    <m/>
    <m/>
    <m/>
    <m/>
    <m/>
    <x v="0"/>
    <n v="0"/>
    <s v="Sem consumo"/>
    <s v="Sem consumo"/>
    <x v="2"/>
  </r>
  <r>
    <s v="23352"/>
    <s v="PINÇA CIRURGICA ENDOSCÓPICA 5MM X 36CM"/>
    <n v="2"/>
    <n v="3"/>
    <n v="1"/>
    <n v="0"/>
    <n v="2215.7186160596998"/>
    <n v="2316.91"/>
    <d v="2025-03-17T00:00:00"/>
    <m/>
    <m/>
    <m/>
    <m/>
    <m/>
    <x v="0"/>
    <n v="0"/>
    <s v="Sem consumo"/>
    <s v="Sem consumo"/>
    <x v="2"/>
  </r>
  <r>
    <s v="26977"/>
    <s v="PINÇA CIRURGICA ULTRASSONICA 9F"/>
    <n v="3"/>
    <n v="3"/>
    <n v="0"/>
    <n v="0"/>
    <n v="1874.67"/>
    <n v="1874.67"/>
    <d v="2025-10-29T00:00:00"/>
    <m/>
    <m/>
    <m/>
    <m/>
    <m/>
    <x v="0"/>
    <n v="0"/>
    <s v="Sem consumo"/>
    <s v="Sem consumo"/>
    <x v="2"/>
  </r>
  <r>
    <s v="7450256"/>
    <s v="PINÇA P/ BIOPSIA - BIOTOMO"/>
    <n v="8"/>
    <n v="9"/>
    <n v="1"/>
    <n v="1"/>
    <n v="4344.8291005289002"/>
    <n v="4345"/>
    <d v="2026-04-23T00:00:00"/>
    <m/>
    <m/>
    <n v="8"/>
    <n v="3"/>
    <m/>
    <x v="0"/>
    <n v="1"/>
    <n v="0"/>
    <s v="Sem Alteração"/>
    <x v="0"/>
  </r>
  <r>
    <s v="27000"/>
    <s v="RESERVATORIO CANISTER P/ MAQUINA CEC S5"/>
    <n v="0"/>
    <n v="0"/>
    <n v="0"/>
    <n v="0"/>
    <n v="290.0035980554"/>
    <n v="290.00360000000001"/>
    <d v="2025-11-19T00:00:00"/>
    <m/>
    <m/>
    <m/>
    <m/>
    <m/>
    <x v="0"/>
    <n v="0"/>
    <s v="Sem consumo"/>
    <s v="Sem consumo"/>
    <x v="2"/>
  </r>
  <r>
    <s v="25342"/>
    <s v="SENSOR DE NIVEL CEC"/>
    <n v="33"/>
    <n v="59"/>
    <n v="26"/>
    <n v="46"/>
    <n v="149.79487644139999"/>
    <n v="150"/>
    <d v="2025-11-24T00:00:00"/>
    <m/>
    <m/>
    <n v="0.7"/>
    <n v="138"/>
    <m/>
    <x v="0"/>
    <n v="46"/>
    <n v="152"/>
    <s v="Sem Alteração"/>
    <x v="3"/>
  </r>
  <r>
    <s v="24468"/>
    <s v="SENSOR OXIMETRIA CEREBRAL (ADULTO)"/>
    <n v="44"/>
    <n v="56"/>
    <n v="12"/>
    <n v="8"/>
    <n v="602.86195043910004"/>
    <n v="603"/>
    <d v="2026-03-16T00:00:00"/>
    <m/>
    <m/>
    <n v="5.5"/>
    <n v="24"/>
    <m/>
    <x v="0"/>
    <n v="8"/>
    <n v="0"/>
    <s v="Sem Alteração"/>
    <x v="0"/>
  </r>
  <r>
    <s v="24470"/>
    <s v="SENSOR OXIMETRIA CEREBRAL (NEONATAL)"/>
    <n v="22"/>
    <n v="26"/>
    <n v="4"/>
    <n v="7"/>
    <n v="633.57604790250002"/>
    <n v="690"/>
    <d v="2026-04-29T00:00:00"/>
    <m/>
    <m/>
    <n v="3.1"/>
    <n v="21"/>
    <m/>
    <x v="0"/>
    <n v="7"/>
    <n v="0"/>
    <s v="Sem Alteração"/>
    <x v="0"/>
  </r>
  <r>
    <s v="24471"/>
    <s v="SENSOR OXIMETRIA CEREBRAL (PEDIATRICO)"/>
    <n v="28"/>
    <n v="32"/>
    <n v="4"/>
    <n v="5"/>
    <n v="599.44444444440001"/>
    <n v="603"/>
    <d v="2026-03-05T00:00:00"/>
    <m/>
    <m/>
    <n v="5.6"/>
    <n v="15"/>
    <m/>
    <x v="0"/>
    <n v="5"/>
    <n v="0"/>
    <s v="Sem Alteração"/>
    <x v="0"/>
  </r>
  <r>
    <s v="11109"/>
    <s v="SERINGA P/ BOMBA INJETORA 150ML"/>
    <n v="43"/>
    <n v="74"/>
    <n v="31"/>
    <n v="56"/>
    <n v="45.734229670200001"/>
    <n v="45.63"/>
    <d v="2026-02-09T00:00:00"/>
    <m/>
    <m/>
    <n v="0.8"/>
    <n v="168"/>
    <m/>
    <x v="0"/>
    <n v="56"/>
    <n v="180"/>
    <s v="Sem Alteração"/>
    <x v="3"/>
  </r>
  <r>
    <s v="25677"/>
    <s v="SISTEMA DE VOLUME VIEW 5F"/>
    <n v="7"/>
    <n v="8"/>
    <n v="1"/>
    <n v="0"/>
    <n v="1985.7142799107"/>
    <n v="2400"/>
    <d v="2026-02-13T00:00:00"/>
    <m/>
    <m/>
    <m/>
    <m/>
    <m/>
    <x v="0"/>
    <n v="0"/>
    <s v="Sem consumo"/>
    <s v="Sem consumo"/>
    <x v="2"/>
  </r>
  <r>
    <s v="9648"/>
    <s v="SISTEMA DRENAGEM 36-2000"/>
    <n v="0"/>
    <n v="0"/>
    <n v="0"/>
    <n v="0"/>
    <n v="22.99"/>
    <n v="31.4"/>
    <d v="2023-10-03T00:00:00"/>
    <m/>
    <m/>
    <m/>
    <m/>
    <m/>
    <x v="0"/>
    <n v="0"/>
    <s v="Sem consumo"/>
    <s v="Sem consumo"/>
    <x v="2"/>
  </r>
  <r>
    <s v="1821369"/>
    <s v="STENT CAROTIDA 10 X 60 X 135"/>
    <n v="2"/>
    <n v="2"/>
    <n v="0"/>
    <n v="0"/>
    <n v="1900"/>
    <n v="1900"/>
    <d v="2025-08-04T00:00:00"/>
    <m/>
    <m/>
    <m/>
    <m/>
    <m/>
    <x v="0"/>
    <n v="0"/>
    <s v="Sem consumo"/>
    <s v="Sem consumo"/>
    <x v="2"/>
  </r>
  <r>
    <s v="1822912"/>
    <s v="STENT FARMACOLOGICO 2,0 X 44"/>
    <n v="0"/>
    <n v="8"/>
    <n v="8"/>
    <n v="0"/>
    <n v="563.43124999999998"/>
    <n v="547.49"/>
    <d v="2025-02-26T00:00:00"/>
    <m/>
    <m/>
    <m/>
    <m/>
    <m/>
    <x v="0"/>
    <n v="0"/>
    <s v="Sem consumo"/>
    <s v="Sem consumo"/>
    <x v="2"/>
  </r>
  <r>
    <s v="7451151"/>
    <s v="STENT FARMACOLOGICO 4,5 X 32"/>
    <n v="1"/>
    <n v="3"/>
    <n v="2"/>
    <n v="0"/>
    <n v="549.46438131310003"/>
    <n v="563.99"/>
    <d v="2025-11-24T00:00:00"/>
    <m/>
    <m/>
    <m/>
    <m/>
    <m/>
    <x v="0"/>
    <n v="0"/>
    <s v="Sem consumo"/>
    <s v="Sem consumo"/>
    <x v="2"/>
  </r>
  <r>
    <s v="1822183"/>
    <s v="STENT PERIFERICO 4,5 X 100 X 120"/>
    <n v="1"/>
    <n v="1"/>
    <n v="0"/>
    <n v="0"/>
    <n v="2034.25"/>
    <n v="2034.5"/>
    <d v="2026-03-16T00:00:00"/>
    <m/>
    <m/>
    <m/>
    <m/>
    <m/>
    <x v="0"/>
    <n v="0"/>
    <s v="Sem consumo"/>
    <s v="Sem consumo"/>
    <x v="2"/>
  </r>
  <r>
    <s v="1822182"/>
    <s v="STENT PERIFERICO 4,5 X 120 X 120"/>
    <n v="1"/>
    <n v="1"/>
    <n v="0"/>
    <n v="0"/>
    <n v="2034.5"/>
    <n v="2034.5"/>
    <d v="2026-03-16T00:00:00"/>
    <m/>
    <m/>
    <m/>
    <m/>
    <m/>
    <x v="0"/>
    <n v="0"/>
    <s v="Sem consumo"/>
    <s v="Sem consumo"/>
    <x v="2"/>
  </r>
  <r>
    <s v="7452692"/>
    <s v="STENT PERIFERICO 7 X 18 X 142 PALMAZ BLU"/>
    <n v="0"/>
    <n v="0"/>
    <n v="0"/>
    <n v="0"/>
    <n v="2034.5"/>
    <n v="2034.5"/>
    <d v="2023-07-03T00:00:00"/>
    <m/>
    <m/>
    <m/>
    <m/>
    <m/>
    <x v="0"/>
    <n v="0"/>
    <s v="Sem consumo"/>
    <s v="Sem consumo"/>
    <x v="2"/>
  </r>
  <r>
    <s v="6683"/>
    <s v="TELA DUPLA FACE 30 x 30 cm  BARD"/>
    <n v="0"/>
    <n v="0"/>
    <n v="0"/>
    <n v="0"/>
    <n v="4500"/>
    <n v="4500"/>
    <d v="2024-06-12T00:00:00"/>
    <m/>
    <m/>
    <m/>
    <m/>
    <m/>
    <x v="0"/>
    <n v="0"/>
    <s v="Sem consumo"/>
    <s v="Sem consumo"/>
    <x v="2"/>
  </r>
  <r>
    <s v="1800170"/>
    <s v="TELA POLIPROPILENO 15 X 15"/>
    <n v="36"/>
    <n v="44"/>
    <n v="8"/>
    <n v="16"/>
    <n v="25.002821408900001"/>
    <n v="24.95"/>
    <d v="2026-02-12T00:00:00"/>
    <m/>
    <m/>
    <n v="2.2000000000000002"/>
    <n v="48"/>
    <m/>
    <x v="0"/>
    <n v="16"/>
    <n v="29"/>
    <s v="Sem Alteração"/>
    <x v="1"/>
  </r>
  <r>
    <s v="1800171"/>
    <s v="TELA POLIPROPILENO 30 X 30"/>
    <n v="21"/>
    <n v="27"/>
    <n v="6"/>
    <n v="3"/>
    <n v="61.441059129300001"/>
    <n v="72.56"/>
    <d v="2024-11-29T00:00:00"/>
    <m/>
    <m/>
    <n v="7"/>
    <n v="9"/>
    <m/>
    <x v="0"/>
    <n v="3"/>
    <n v="0"/>
    <s v="Sem Alteração"/>
    <x v="0"/>
  </r>
  <r>
    <s v="9729"/>
    <s v="TRANSDUTOR DE PRESSÃO"/>
    <n v="2280"/>
    <n v="2443"/>
    <n v="163"/>
    <n v="476"/>
    <n v="60.757800126299998"/>
    <n v="65"/>
    <d v="2026-04-29T00:00:00"/>
    <s v="2026-05"/>
    <n v="15"/>
    <n v="4.8"/>
    <n v="1428"/>
    <n v="3.1512605042016806E-2"/>
    <x v="0"/>
    <n v="476"/>
    <n v="0"/>
    <s v="Sem Alteração"/>
    <x v="0"/>
  </r>
  <r>
    <s v="7452776"/>
    <s v="TROCATER 5/12mm"/>
    <n v="5"/>
    <n v="8"/>
    <n v="3"/>
    <n v="2"/>
    <n v="143.2021890625"/>
    <n v="143.55000000000001"/>
    <d v="2026-02-09T00:00:00"/>
    <m/>
    <m/>
    <n v="2.5"/>
    <n v="6"/>
    <m/>
    <x v="0"/>
    <n v="2"/>
    <n v="3"/>
    <s v="Sem Alteração"/>
    <x v="1"/>
  </r>
  <r>
    <s v="11400"/>
    <s v="TUBO EXTENSOR ALTA PRESSAO 1200/76CM"/>
    <n v="119"/>
    <n v="143"/>
    <n v="24"/>
    <n v="18"/>
    <n v="9.0386051583999993"/>
    <n v="9"/>
    <d v="2026-02-11T00:00:00"/>
    <s v="2026-05"/>
    <n v="2"/>
    <n v="6.6"/>
    <n v="54"/>
    <n v="0.1111111111111111"/>
    <x v="0"/>
    <n v="18"/>
    <n v="0"/>
    <s v="Sem Alteração"/>
    <x v="0"/>
  </r>
  <r>
    <s v="11055"/>
    <s v="VALVULA AORTICA 21,5 TAVI"/>
    <n v="0"/>
    <n v="0"/>
    <n v="0"/>
    <n v="0"/>
    <n v="59000"/>
    <n v="62130"/>
    <d v="2026-04-01T00:00:00"/>
    <m/>
    <m/>
    <m/>
    <m/>
    <m/>
    <x v="0"/>
    <n v="0"/>
    <s v="Sem consumo"/>
    <s v="Sem consumo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50F157-E7DF-43A3-9A8E-47BC48D890E8}" name="Tabela dinâmica3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>
  <location ref="A9:B13" firstHeaderRow="1" firstDataRow="1" firstDataCol="1"/>
  <pivotFields count="19">
    <pivotField showAll="0"/>
    <pivotField showAll="0" countASubtotal="1"/>
    <pivotField showAll="0"/>
    <pivotField showAll="0"/>
    <pivotField showAll="0"/>
    <pivotField showAll="0"/>
    <pivotField numFmtId="44" showAll="0"/>
    <pivotField numFmtId="4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0"/>
        <item x="1"/>
        <item x="3"/>
        <item x="2"/>
        <item t="default"/>
      </items>
    </pivotField>
  </pivotFields>
  <rowFields count="1">
    <field x="18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ntagem de NIVEL DO ESTOQUE" fld="18" subtotal="count" baseField="0" baseItem="0"/>
  </dataFields>
  <formats count="29"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8" type="button" dataOnly="0" labelOnly="1" outline="0" axis="axisRow" fieldPosition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8" type="button" dataOnly="0" labelOnly="1" outline="0" axis="axisRow" fieldPosition="0"/>
    </format>
    <format dxfId="8">
      <pivotArea dataOnly="0" labelOnly="1" fieldPosition="0">
        <references count="1">
          <reference field="18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field="18" type="button" dataOnly="0" labelOnly="1" outline="0" axis="axisRow" fieldPosition="0"/>
    </format>
    <format dxfId="4">
      <pivotArea dataOnly="0" labelOnly="1" outline="0" axis="axisValues" fieldPosition="0"/>
    </format>
    <format dxfId="3">
      <pivotArea field="18" type="button" dataOnly="0" labelOnly="1" outline="0" axis="axisRow" fieldPosition="0"/>
    </format>
    <format dxfId="2">
      <pivotArea dataOnly="0" labelOnly="1" outline="0" axis="axisValues" fieldPosition="0"/>
    </format>
    <format dxfId="1">
      <pivotArea field="18" type="button" dataOnly="0" labelOnly="1" outline="0" axis="axisRow" fieldPosition="0"/>
    </format>
    <format dxfId="0">
      <pivotArea dataOnly="0" labelOnly="1" outline="0" axis="axisValues" fieldPosition="0"/>
    </format>
  </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1DBBC5-3DD0-421D-B863-FB006D9CBC8E}" name="Tabela dinâmica1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>
  <location ref="A6:A7" firstHeaderRow="1" firstDataRow="1" firstDataCol="0"/>
  <pivotFields count="19">
    <pivotField showAll="0"/>
    <pivotField dataField="1" showAll="0" countASubtotal="1"/>
    <pivotField showAll="0"/>
    <pivotField showAll="0"/>
    <pivotField showAll="0"/>
    <pivotField showAll="0"/>
    <pivotField numFmtId="44" showAll="0"/>
    <pivotField numFmtId="4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ntagem de DESCRIÇÃO" fld="1" subtotal="count" baseField="0" baseItem="0"/>
  </dataFields>
  <formats count="15">
    <format dxfId="43">
      <pivotArea type="all" dataOnly="0" outline="0" fieldPosition="0"/>
    </format>
    <format dxfId="42">
      <pivotArea outline="0" collapsedLevelsAreSubtotals="1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dataOnly="0" labelOnly="1" outline="0" axis="axisValues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axis="axisValues" fieldPosition="0"/>
    </format>
  </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3C6D4E-C8F1-4AD4-8706-6461EC5AA81C}" name="Tabela dinâmica7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30">
  <location ref="A24:B27" firstHeaderRow="1" firstDataRow="1" firstDataCol="1"/>
  <pivotFields count="19">
    <pivotField showAll="0"/>
    <pivotField showAll="0" countASubtotal="1"/>
    <pivotField showAll="0"/>
    <pivotField showAll="0"/>
    <pivotField showAll="0"/>
    <pivotField showAll="0"/>
    <pivotField numFmtId="44" showAll="0"/>
    <pivotField numFmtId="44" showAll="0"/>
    <pivotField numFmtId="14"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>
      <items count="5">
        <item x="0"/>
        <item x="1"/>
        <item x="3"/>
        <item x="2"/>
        <item t="default"/>
      </items>
    </pivotField>
  </pivotFields>
  <rowFields count="1">
    <field x="14"/>
  </rowFields>
  <rowItems count="3">
    <i>
      <x/>
    </i>
    <i>
      <x v="2"/>
    </i>
    <i t="grand">
      <x/>
    </i>
  </rowItems>
  <colItems count="1">
    <i/>
  </colItems>
  <dataFields count="1">
    <dataField name="Contagem de FLAG DE PICO" fld="14" subtotal="count" baseField="0" baseItem="0"/>
  </dataFields>
  <formats count="28"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outline="0" axis="axisValues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dataOnly="0" labelOnly="1" outline="0" axis="axisValues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dataOnly="0" labelOnly="1" outline="0" axis="axisValues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8" type="button" dataOnly="0" labelOnly="1" outline="0"/>
    </format>
    <format dxfId="56">
      <pivotArea dataOnly="0" labelOnly="1" grandRow="1" outline="0" fieldPosition="0"/>
    </format>
    <format dxfId="55">
      <pivotArea dataOnly="0" labelOnly="1" outline="0" axis="axisValues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8" type="button" dataOnly="0" labelOnly="1" outline="0"/>
    </format>
    <format dxfId="51">
      <pivotArea dataOnly="0" labelOnly="1" grandRow="1" outline="0" fieldPosition="0"/>
    </format>
    <format dxfId="50">
      <pivotArea dataOnly="0" labelOnly="1" outline="0" axis="axisValues" fieldPosition="0"/>
    </format>
    <format dxfId="49">
      <pivotArea field="18" type="button" dataOnly="0" labelOnly="1" outline="0"/>
    </format>
    <format dxfId="48">
      <pivotArea dataOnly="0" labelOnly="1" outline="0" axis="axisValues" fieldPosition="0"/>
    </format>
    <format dxfId="47">
      <pivotArea field="18" type="button" dataOnly="0" labelOnly="1" outline="0"/>
    </format>
    <format dxfId="46">
      <pivotArea dataOnly="0" labelOnly="1" outline="0" axis="axisValues" fieldPosition="0"/>
    </format>
    <format dxfId="45">
      <pivotArea field="18" type="button" dataOnly="0" labelOnly="1" outline="0"/>
    </format>
    <format dxfId="44">
      <pivotArea dataOnly="0" labelOnly="1" outline="0" axis="axisValues" fieldPosition="0"/>
    </format>
  </formats>
  <chartFormats count="2">
    <chartFormat chart="2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05E045-E900-4804-9A7B-4315D2C95547}" name="Tabela dinâmica6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1">
  <location ref="A16:B21" firstHeaderRow="1" firstDataRow="1" firstDataCol="1"/>
  <pivotFields count="19">
    <pivotField showAll="0"/>
    <pivotField showAll="0" countASubtotal="1"/>
    <pivotField showAll="0"/>
    <pivotField showAll="0"/>
    <pivotField showAll="0"/>
    <pivotField showAll="0"/>
    <pivotField numFmtId="44" showAll="0"/>
    <pivotField numFmtId="4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5">
        <item x="0"/>
        <item x="1"/>
        <item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8"/>
  </rowFields>
  <rowItems count="5">
    <i>
      <x v="2"/>
    </i>
    <i>
      <x v="1"/>
    </i>
    <i>
      <x v="3"/>
    </i>
    <i>
      <x/>
    </i>
    <i t="grand">
      <x/>
    </i>
  </rowItems>
  <colItems count="1">
    <i/>
  </colItems>
  <dataFields count="1">
    <dataField name="Contagem de NIVEL DO ESTOQUE" fld="18" subtotal="count" baseField="0" baseItem="0"/>
  </dataFields>
  <formats count="29">
    <format dxfId="100">
      <pivotArea type="all" dataOnly="0" outline="0" fieldPosition="0"/>
    </format>
    <format dxfId="99">
      <pivotArea outline="0" collapsedLevelsAreSubtotals="1" fieldPosition="0"/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dataOnly="0" labelOnly="1" outline="0" axis="axisValues" fieldPosition="0"/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outline="0" axis="axisValues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dataOnly="0" labelOnly="1" outline="0" axis="axisValues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18" type="button" dataOnly="0" labelOnly="1" outline="0" axis="axisRow" fieldPosition="0"/>
    </format>
    <format dxfId="85">
      <pivotArea dataOnly="0" labelOnly="1" grandRow="1" outline="0" fieldPosition="0"/>
    </format>
    <format dxfId="84">
      <pivotArea dataOnly="0" labelOnly="1" outline="0" axis="axisValues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18" type="button" dataOnly="0" labelOnly="1" outline="0" axis="axisRow" fieldPosition="0"/>
    </format>
    <format dxfId="80">
      <pivotArea dataOnly="0" labelOnly="1" fieldPosition="0">
        <references count="1">
          <reference field="18" count="0"/>
        </references>
      </pivotArea>
    </format>
    <format dxfId="79">
      <pivotArea dataOnly="0" labelOnly="1" grandRow="1" outline="0" fieldPosition="0"/>
    </format>
    <format dxfId="78">
      <pivotArea dataOnly="0" labelOnly="1" outline="0" axis="axisValues" fieldPosition="0"/>
    </format>
    <format dxfId="77">
      <pivotArea field="18" type="button" dataOnly="0" labelOnly="1" outline="0" axis="axisRow" fieldPosition="0"/>
    </format>
    <format dxfId="76">
      <pivotArea dataOnly="0" labelOnly="1" outline="0" axis="axisValues" fieldPosition="0"/>
    </format>
    <format dxfId="75">
      <pivotArea field="18" type="button" dataOnly="0" labelOnly="1" outline="0" axis="axisRow" fieldPosition="0"/>
    </format>
    <format dxfId="74">
      <pivotArea dataOnly="0" labelOnly="1" outline="0" axis="axisValues" fieldPosition="0"/>
    </format>
    <format dxfId="73">
      <pivotArea field="18" type="button" dataOnly="0" labelOnly="1" outline="0" axis="axisRow" fieldPosition="0"/>
    </format>
    <format dxfId="72">
      <pivotArea dataOnly="0" labelOnly="1" outline="0" axis="axisValues" fieldPosition="0"/>
    </format>
  </formats>
  <chartFormats count="5"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1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12" format="12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adjustColumnWidth="0" connectionId="6" xr16:uid="{6500ED42-BA86-49B1-BDFA-AE7FEDE419D5}" autoFormatId="16" applyNumberFormats="0" applyBorderFormats="0" applyFontFormats="0" applyPatternFormats="0" applyAlignmentFormats="0" applyWidthHeightFormats="0">
  <queryTableRefresh nextId="22">
    <queryTableFields count="19">
      <queryTableField id="1" name="COD" tableColumnId="1"/>
      <queryTableField id="2" name="DESCRIÇÃO" tableColumnId="2"/>
      <queryTableField id="3" name="ESTOQUE" tableColumnId="3"/>
      <queryTableField id="4" name="GERAL" tableColumnId="4"/>
      <queryTableField id="5" name="FARMÁCIA (OU QUARENTENA)" tableColumnId="5"/>
      <queryTableField id="6" name="CMM" tableColumnId="6"/>
      <queryTableField id="7" name="VALOR MÉDIO" tableColumnId="7"/>
      <queryTableField id="8" name="VALOR ULTIMA ENTRADA" tableColumnId="8"/>
      <queryTableField id="9" name="ENTRADA" tableColumnId="9"/>
      <queryTableField id="10" name="MES_ATUAL" tableColumnId="10"/>
      <queryTableField id="12" name="QTD. MES_ATUAL" tableColumnId="12"/>
      <queryTableField id="13" name="COBERTURA ATUAL" tableColumnId="13"/>
      <queryTableField id="14" name="ESTOQUE ALVO" tableColumnId="14"/>
      <queryTableField id="15" name="RAZÃO DE PICO" tableColumnId="15"/>
      <queryTableField id="16" name="FLAG DE PICO" tableColumnId="16"/>
      <queryTableField id="17" name="CMM PROJETO" tableColumnId="17"/>
      <queryTableField id="18" name="QTD. EMPENHO" tableColumnId="18"/>
      <queryTableField id="20" name="QTD. EMPENHO C/ PICO" tableColumnId="11"/>
      <queryTableField id="19" name="NIVEL DO ESTOQUE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EECEF8-EC19-42AA-9A15-775C0425DD9E}" name="SUPRA" displayName="SUPRA" ref="A1:S334" tableType="queryTable" totalsRowShown="0" headerRowDxfId="121" dataDxfId="120">
  <sortState xmlns:xlrd2="http://schemas.microsoft.com/office/spreadsheetml/2017/richdata2" ref="A2:S334">
    <sortCondition ref="B1:B334"/>
  </sortState>
  <tableColumns count="19">
    <tableColumn id="1" xr3:uid="{DCE81009-953C-4140-9835-A4BA16B05057}" uniqueName="1" name="COD" queryTableFieldId="1" dataDxfId="119"/>
    <tableColumn id="2" xr3:uid="{3D599510-E005-4172-9AF9-87EBBAAA93C8}" uniqueName="2" name="DESCRIÇÃO" queryTableFieldId="2" dataDxfId="118"/>
    <tableColumn id="3" xr3:uid="{6F94DBF4-294E-41EA-A0B4-F27FFB3E9881}" uniqueName="3" name="ESTOQUE" queryTableFieldId="3" dataDxfId="117"/>
    <tableColumn id="4" xr3:uid="{AD26747E-7E59-4E12-825C-E11DFFD36873}" uniqueName="4" name="GERAL" queryTableFieldId="4" dataDxfId="116"/>
    <tableColumn id="5" xr3:uid="{B2B829B6-799C-4F0E-8BA5-B74830410636}" uniqueName="5" name="FARMÁCIA (OU QUARENTENA)" queryTableFieldId="5" dataDxfId="115"/>
    <tableColumn id="6" xr3:uid="{098E3712-8701-48E1-9D89-112B1950D0E7}" uniqueName="6" name="CMM" queryTableFieldId="6" dataDxfId="114"/>
    <tableColumn id="7" xr3:uid="{061237C5-C6F2-4F8E-93E0-E88A2C90D3BD}" uniqueName="7" name="VALOR MÉDIO" queryTableFieldId="7" dataDxfId="113" dataCellStyle="Moeda"/>
    <tableColumn id="8" xr3:uid="{E79A7843-256D-475D-9459-0B12719F7BED}" uniqueName="8" name="VALOR ULTIMA ENTRADA" queryTableFieldId="8" dataDxfId="112" dataCellStyle="Moeda"/>
    <tableColumn id="9" xr3:uid="{4F505623-8893-468B-A684-E915156CEC39}" uniqueName="9" name="ENTRADA" queryTableFieldId="9" dataDxfId="111"/>
    <tableColumn id="10" xr3:uid="{5964093D-2451-4E5E-BAF6-B9E92B9004BA}" uniqueName="10" name="MES_ATUAL" queryTableFieldId="10" dataDxfId="110"/>
    <tableColumn id="12" xr3:uid="{24F09DAE-8D48-4F1F-B261-D6D05D1F7A37}" uniqueName="12" name="QTD. MES_ATUAL" queryTableFieldId="12" dataDxfId="109"/>
    <tableColumn id="13" xr3:uid="{1592CF92-2208-4828-9D6A-CBFBDB42C343}" uniqueName="13" name="COBERTURA ATUAL" queryTableFieldId="13" dataDxfId="108"/>
    <tableColumn id="14" xr3:uid="{F98173B8-1771-4787-9A4B-0D3E2FC23742}" uniqueName="14" name="ESTOQUE ALVO" queryTableFieldId="14" dataDxfId="107"/>
    <tableColumn id="15" xr3:uid="{44FBE0D6-23CA-4091-A2D9-70ADB05B4445}" uniqueName="15" name="RAZÃO DE PICO" queryTableFieldId="15" dataDxfId="106"/>
    <tableColumn id="16" xr3:uid="{80F2C1BF-43E2-427C-9B17-45BA50380E1F}" uniqueName="16" name="FLAG DE PICO" queryTableFieldId="16" dataDxfId="105"/>
    <tableColumn id="17" xr3:uid="{DFC8F79C-2DB2-4F33-9761-425D734F445E}" uniqueName="17" name="CMM PROJETO" queryTableFieldId="17" dataDxfId="104"/>
    <tableColumn id="18" xr3:uid="{27D4237E-4DA6-4CC8-915A-44A161FBBBBB}" uniqueName="18" name="QTD. EMPENHO" queryTableFieldId="18" dataDxfId="103"/>
    <tableColumn id="11" xr3:uid="{47850C8E-3D99-4F98-885E-252B3B586453}" uniqueName="11" name="QTD. EMPENHO C/ PICO" queryTableFieldId="20" dataDxfId="102"/>
    <tableColumn id="19" xr3:uid="{D04B20FD-9DC1-43A9-9A13-1BD98E638F2C}" uniqueName="19" name="NIVEL DO ESTOQUE" queryTableFieldId="19" dataDxfId="101"/>
  </tableColumns>
  <tableStyleInfo name="TableStyleLight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erde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44CD0-509B-488D-AD36-EBCC53A51FD0}">
  <sheetPr codeName="Planilha1"/>
  <dimension ref="A1:S334"/>
  <sheetViews>
    <sheetView showGridLines="0" tabSelected="1" zoomScale="50" zoomScaleNormal="50" workbookViewId="0">
      <selection activeCell="B1" sqref="B1"/>
    </sheetView>
  </sheetViews>
  <sheetFormatPr defaultRowHeight="20.399999999999999" x14ac:dyDescent="0.3"/>
  <cols>
    <col min="1" max="1" width="24.44140625" style="5" customWidth="1"/>
    <col min="2" max="2" width="68.77734375" style="5" bestFit="1" customWidth="1"/>
    <col min="3" max="4" width="30.77734375" style="5" customWidth="1"/>
    <col min="5" max="5" width="49.109375" style="5" bestFit="1" customWidth="1"/>
    <col min="6" max="6" width="30.77734375" style="5" customWidth="1"/>
    <col min="7" max="7" width="30.77734375" style="6" customWidth="1"/>
    <col min="8" max="8" width="46.33203125" style="6" bestFit="1" customWidth="1"/>
    <col min="9" max="9" width="30.77734375" style="5" customWidth="1"/>
    <col min="10" max="10" width="30.77734375" style="5" hidden="1" customWidth="1"/>
    <col min="11" max="11" width="33.21875" style="5" bestFit="1" customWidth="1"/>
    <col min="12" max="12" width="35.88671875" style="5" bestFit="1" customWidth="1"/>
    <col min="13" max="13" width="30.77734375" style="5" customWidth="1"/>
    <col min="14" max="14" width="29.44140625" style="5" bestFit="1" customWidth="1"/>
    <col min="15" max="17" width="30.77734375" style="5" customWidth="1"/>
    <col min="18" max="18" width="41.6640625" style="5" bestFit="1" customWidth="1"/>
    <col min="19" max="19" width="36.5546875" style="5" bestFit="1" customWidth="1"/>
    <col min="20" max="20" width="30.77734375" style="5" customWidth="1"/>
    <col min="21" max="16384" width="8.88671875" style="5"/>
  </cols>
  <sheetData>
    <row r="1" spans="1:19" ht="49.9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1" t="s">
        <v>8</v>
      </c>
      <c r="J1" s="9" t="s">
        <v>675</v>
      </c>
      <c r="K1" s="5" t="s">
        <v>676</v>
      </c>
      <c r="L1" s="5" t="s">
        <v>677</v>
      </c>
      <c r="M1" s="5" t="s">
        <v>678</v>
      </c>
      <c r="N1" s="3" t="s">
        <v>679</v>
      </c>
      <c r="O1" s="5" t="s">
        <v>680</v>
      </c>
      <c r="P1" s="5" t="s">
        <v>681</v>
      </c>
      <c r="Q1" s="5" t="s">
        <v>682</v>
      </c>
      <c r="R1" s="5" t="s">
        <v>691</v>
      </c>
      <c r="S1" s="5" t="s">
        <v>683</v>
      </c>
    </row>
    <row r="2" spans="1:19" s="3" customFormat="1" ht="30" customHeight="1" x14ac:dyDescent="0.3">
      <c r="A2" s="4" t="s">
        <v>342</v>
      </c>
      <c r="B2" s="5" t="s">
        <v>260</v>
      </c>
      <c r="C2" s="5">
        <v>44</v>
      </c>
      <c r="D2" s="5">
        <v>54</v>
      </c>
      <c r="E2" s="5">
        <v>10</v>
      </c>
      <c r="F2" s="5">
        <v>7</v>
      </c>
      <c r="G2" s="6">
        <v>50.7116958541</v>
      </c>
      <c r="H2" s="6">
        <v>50</v>
      </c>
      <c r="I2" s="7">
        <v>45978</v>
      </c>
      <c r="J2" s="5"/>
      <c r="L2" s="3">
        <v>6.3</v>
      </c>
      <c r="M2" s="3">
        <v>21</v>
      </c>
      <c r="O2" s="3" t="s">
        <v>688</v>
      </c>
      <c r="P2" s="3">
        <v>7</v>
      </c>
      <c r="Q2" s="3">
        <v>0</v>
      </c>
      <c r="R2" s="10" t="s">
        <v>692</v>
      </c>
      <c r="S2" s="3" t="s">
        <v>684</v>
      </c>
    </row>
    <row r="3" spans="1:19" s="3" customFormat="1" ht="30" customHeight="1" x14ac:dyDescent="0.3">
      <c r="A3" s="4" t="s">
        <v>343</v>
      </c>
      <c r="B3" s="5" t="s">
        <v>218</v>
      </c>
      <c r="C3" s="5">
        <v>45</v>
      </c>
      <c r="D3" s="5">
        <v>62</v>
      </c>
      <c r="E3" s="5">
        <v>17</v>
      </c>
      <c r="F3" s="5">
        <v>15</v>
      </c>
      <c r="G3" s="6">
        <v>49.619713264200001</v>
      </c>
      <c r="H3" s="6">
        <v>50</v>
      </c>
      <c r="I3" s="7">
        <v>46064</v>
      </c>
      <c r="J3" s="5"/>
      <c r="L3" s="3">
        <v>3</v>
      </c>
      <c r="M3" s="3">
        <v>45</v>
      </c>
      <c r="O3" s="3" t="s">
        <v>688</v>
      </c>
      <c r="P3" s="3">
        <v>15</v>
      </c>
      <c r="Q3" s="3">
        <v>15</v>
      </c>
      <c r="R3" s="10" t="s">
        <v>692</v>
      </c>
      <c r="S3" s="3" t="s">
        <v>686</v>
      </c>
    </row>
    <row r="4" spans="1:19" s="3" customFormat="1" ht="30" customHeight="1" x14ac:dyDescent="0.3">
      <c r="A4" s="4" t="s">
        <v>344</v>
      </c>
      <c r="B4" s="5" t="s">
        <v>131</v>
      </c>
      <c r="C4" s="5">
        <v>0</v>
      </c>
      <c r="D4" s="5">
        <v>0</v>
      </c>
      <c r="E4" s="5">
        <v>0</v>
      </c>
      <c r="F4" s="5">
        <v>0</v>
      </c>
      <c r="G4" s="6">
        <v>1628.55</v>
      </c>
      <c r="H4" s="6">
        <v>1628.55</v>
      </c>
      <c r="I4" s="7">
        <v>45866</v>
      </c>
      <c r="J4" s="5"/>
      <c r="O4" s="3" t="s">
        <v>688</v>
      </c>
      <c r="P4" s="3">
        <v>0</v>
      </c>
      <c r="Q4" s="3" t="s">
        <v>689</v>
      </c>
      <c r="R4" s="10" t="s">
        <v>689</v>
      </c>
      <c r="S4" s="3" t="s">
        <v>703</v>
      </c>
    </row>
    <row r="5" spans="1:19" s="3" customFormat="1" ht="30" customHeight="1" x14ac:dyDescent="0.3">
      <c r="A5" s="4" t="s">
        <v>345</v>
      </c>
      <c r="B5" s="5" t="s">
        <v>165</v>
      </c>
      <c r="C5" s="5">
        <v>2</v>
      </c>
      <c r="D5" s="5">
        <v>2</v>
      </c>
      <c r="E5" s="5">
        <v>0</v>
      </c>
      <c r="F5" s="5">
        <v>1</v>
      </c>
      <c r="G5" s="6">
        <v>2634091.0068587111</v>
      </c>
      <c r="H5" s="6">
        <v>0</v>
      </c>
      <c r="I5" s="7">
        <v>46107</v>
      </c>
      <c r="J5" s="5"/>
      <c r="L5" s="3">
        <v>2</v>
      </c>
      <c r="M5" s="3">
        <v>3</v>
      </c>
      <c r="O5" s="3" t="s">
        <v>688</v>
      </c>
      <c r="P5" s="3">
        <v>1</v>
      </c>
      <c r="Q5" s="3">
        <v>2</v>
      </c>
      <c r="R5" s="10" t="s">
        <v>692</v>
      </c>
      <c r="S5" s="3" t="s">
        <v>686</v>
      </c>
    </row>
    <row r="6" spans="1:19" s="3" customFormat="1" ht="30" customHeight="1" x14ac:dyDescent="0.3">
      <c r="A6" s="4" t="s">
        <v>346</v>
      </c>
      <c r="B6" s="5" t="s">
        <v>56</v>
      </c>
      <c r="C6" s="5">
        <v>20</v>
      </c>
      <c r="D6" s="5">
        <v>20</v>
      </c>
      <c r="E6" s="5">
        <v>0</v>
      </c>
      <c r="F6" s="5">
        <v>0</v>
      </c>
      <c r="G6" s="6">
        <v>89</v>
      </c>
      <c r="H6" s="6">
        <v>89</v>
      </c>
      <c r="I6" s="7">
        <v>46127</v>
      </c>
      <c r="J6" s="5"/>
      <c r="O6" s="3" t="s">
        <v>688</v>
      </c>
      <c r="P6" s="3">
        <v>0</v>
      </c>
      <c r="Q6" s="3" t="s">
        <v>689</v>
      </c>
      <c r="R6" s="10" t="s">
        <v>689</v>
      </c>
      <c r="S6" s="3" t="s">
        <v>704</v>
      </c>
    </row>
    <row r="7" spans="1:19" s="3" customFormat="1" ht="30" customHeight="1" x14ac:dyDescent="0.3">
      <c r="A7" s="4" t="s">
        <v>347</v>
      </c>
      <c r="B7" s="5" t="s">
        <v>331</v>
      </c>
      <c r="C7" s="5">
        <v>21</v>
      </c>
      <c r="D7" s="5">
        <v>26</v>
      </c>
      <c r="E7" s="5">
        <v>5</v>
      </c>
      <c r="F7" s="5">
        <v>1</v>
      </c>
      <c r="G7" s="6">
        <v>768.30583218310005</v>
      </c>
      <c r="H7" s="6">
        <v>729.56</v>
      </c>
      <c r="I7" s="7">
        <v>46059</v>
      </c>
      <c r="J7" s="5"/>
      <c r="L7" s="3">
        <v>21</v>
      </c>
      <c r="M7" s="3">
        <v>3</v>
      </c>
      <c r="O7" s="3" t="s">
        <v>688</v>
      </c>
      <c r="P7" s="3">
        <v>1</v>
      </c>
      <c r="Q7" s="3">
        <v>0</v>
      </c>
      <c r="R7" s="10" t="s">
        <v>692</v>
      </c>
      <c r="S7" s="3" t="s">
        <v>684</v>
      </c>
    </row>
    <row r="8" spans="1:19" s="3" customFormat="1" ht="30" customHeight="1" x14ac:dyDescent="0.3">
      <c r="A8" s="4" t="s">
        <v>348</v>
      </c>
      <c r="B8" s="5" t="s">
        <v>162</v>
      </c>
      <c r="C8" s="5">
        <v>120</v>
      </c>
      <c r="D8" s="5">
        <v>143</v>
      </c>
      <c r="E8" s="5">
        <v>23</v>
      </c>
      <c r="F8" s="5">
        <v>69</v>
      </c>
      <c r="G8" s="6">
        <v>729.55837233260002</v>
      </c>
      <c r="H8" s="6">
        <v>729.56</v>
      </c>
      <c r="I8" s="7">
        <v>46006</v>
      </c>
      <c r="J8" s="5"/>
      <c r="L8" s="3">
        <v>1.7</v>
      </c>
      <c r="M8" s="3">
        <v>207</v>
      </c>
      <c r="O8" s="3" t="s">
        <v>688</v>
      </c>
      <c r="P8" s="3">
        <v>69</v>
      </c>
      <c r="Q8" s="3">
        <v>159</v>
      </c>
      <c r="R8" s="10" t="s">
        <v>692</v>
      </c>
      <c r="S8" s="3" t="s">
        <v>686</v>
      </c>
    </row>
    <row r="9" spans="1:19" s="3" customFormat="1" ht="30" customHeight="1" x14ac:dyDescent="0.3">
      <c r="A9" s="4" t="s">
        <v>349</v>
      </c>
      <c r="B9" s="5" t="s">
        <v>320</v>
      </c>
      <c r="C9" s="5">
        <v>10</v>
      </c>
      <c r="D9" s="5">
        <v>19</v>
      </c>
      <c r="E9" s="5">
        <v>9</v>
      </c>
      <c r="F9" s="5">
        <v>1</v>
      </c>
      <c r="G9" s="6">
        <v>90</v>
      </c>
      <c r="H9" s="6">
        <v>600</v>
      </c>
      <c r="I9" s="7">
        <v>45993</v>
      </c>
      <c r="J9" s="5"/>
      <c r="L9" s="3">
        <v>10</v>
      </c>
      <c r="M9" s="3">
        <v>3</v>
      </c>
      <c r="O9" s="3" t="s">
        <v>688</v>
      </c>
      <c r="P9" s="3">
        <v>1</v>
      </c>
      <c r="Q9" s="3">
        <v>0</v>
      </c>
      <c r="R9" s="10" t="s">
        <v>692</v>
      </c>
      <c r="S9" s="3" t="s">
        <v>684</v>
      </c>
    </row>
    <row r="10" spans="1:19" s="3" customFormat="1" ht="30" customHeight="1" x14ac:dyDescent="0.3">
      <c r="A10" s="4" t="s">
        <v>350</v>
      </c>
      <c r="B10" s="5" t="s">
        <v>235</v>
      </c>
      <c r="C10" s="5">
        <v>39</v>
      </c>
      <c r="D10" s="5">
        <v>44</v>
      </c>
      <c r="E10" s="5">
        <v>5</v>
      </c>
      <c r="F10" s="5">
        <v>8</v>
      </c>
      <c r="G10" s="6">
        <v>476.53515038350002</v>
      </c>
      <c r="H10" s="6">
        <v>470</v>
      </c>
      <c r="I10" s="7">
        <v>46142</v>
      </c>
      <c r="J10" s="5"/>
      <c r="L10" s="3">
        <v>4.9000000000000004</v>
      </c>
      <c r="M10" s="3">
        <v>24</v>
      </c>
      <c r="O10" s="3" t="s">
        <v>688</v>
      </c>
      <c r="P10" s="3">
        <v>8</v>
      </c>
      <c r="Q10" s="3">
        <v>0</v>
      </c>
      <c r="R10" s="10" t="s">
        <v>692</v>
      </c>
      <c r="S10" s="3" t="s">
        <v>684</v>
      </c>
    </row>
    <row r="11" spans="1:19" s="3" customFormat="1" ht="30" customHeight="1" x14ac:dyDescent="0.3">
      <c r="A11" s="4" t="s">
        <v>351</v>
      </c>
      <c r="B11" s="5" t="s">
        <v>220</v>
      </c>
      <c r="C11" s="5">
        <v>24</v>
      </c>
      <c r="D11" s="5">
        <v>30</v>
      </c>
      <c r="E11" s="5">
        <v>6</v>
      </c>
      <c r="F11" s="5">
        <v>4</v>
      </c>
      <c r="G11" s="6">
        <v>472.89896494700002</v>
      </c>
      <c r="H11" s="6">
        <v>470</v>
      </c>
      <c r="I11" s="7">
        <v>46120</v>
      </c>
      <c r="J11" s="5"/>
      <c r="L11" s="3">
        <v>6</v>
      </c>
      <c r="M11" s="3">
        <v>12</v>
      </c>
      <c r="O11" s="3" t="s">
        <v>688</v>
      </c>
      <c r="P11" s="3">
        <v>4</v>
      </c>
      <c r="Q11" s="3">
        <v>0</v>
      </c>
      <c r="R11" s="10" t="s">
        <v>692</v>
      </c>
      <c r="S11" s="3" t="s">
        <v>684</v>
      </c>
    </row>
    <row r="12" spans="1:19" s="3" customFormat="1" ht="30" customHeight="1" x14ac:dyDescent="0.3">
      <c r="A12" s="4" t="s">
        <v>352</v>
      </c>
      <c r="B12" s="5" t="s">
        <v>267</v>
      </c>
      <c r="C12" s="5">
        <v>23</v>
      </c>
      <c r="D12" s="5">
        <v>29</v>
      </c>
      <c r="E12" s="5">
        <v>6</v>
      </c>
      <c r="F12" s="5">
        <v>2</v>
      </c>
      <c r="G12" s="6">
        <v>502.69805028320002</v>
      </c>
      <c r="H12" s="6">
        <v>470</v>
      </c>
      <c r="I12" s="7">
        <v>46136</v>
      </c>
      <c r="J12" s="5"/>
      <c r="L12" s="3">
        <v>11.5</v>
      </c>
      <c r="M12" s="3">
        <v>6</v>
      </c>
      <c r="O12" s="3" t="s">
        <v>688</v>
      </c>
      <c r="P12" s="3">
        <v>2</v>
      </c>
      <c r="Q12" s="3">
        <v>0</v>
      </c>
      <c r="R12" s="10" t="s">
        <v>692</v>
      </c>
      <c r="S12" s="3" t="s">
        <v>684</v>
      </c>
    </row>
    <row r="13" spans="1:19" s="3" customFormat="1" ht="30" customHeight="1" x14ac:dyDescent="0.3">
      <c r="A13" s="4" t="s">
        <v>353</v>
      </c>
      <c r="B13" s="5" t="s">
        <v>213</v>
      </c>
      <c r="C13" s="5">
        <v>9</v>
      </c>
      <c r="D13" s="5">
        <v>14</v>
      </c>
      <c r="E13" s="5">
        <v>5</v>
      </c>
      <c r="F13" s="5">
        <v>4</v>
      </c>
      <c r="G13" s="6">
        <v>517.09150916370004</v>
      </c>
      <c r="H13" s="6">
        <v>489</v>
      </c>
      <c r="I13" s="7">
        <v>46072</v>
      </c>
      <c r="J13" s="5"/>
      <c r="L13" s="3">
        <v>2.2000000000000002</v>
      </c>
      <c r="M13" s="3">
        <v>12</v>
      </c>
      <c r="O13" s="3" t="s">
        <v>688</v>
      </c>
      <c r="P13" s="3">
        <v>4</v>
      </c>
      <c r="Q13" s="3">
        <v>8</v>
      </c>
      <c r="R13" s="10" t="s">
        <v>692</v>
      </c>
      <c r="S13" s="3" t="s">
        <v>686</v>
      </c>
    </row>
    <row r="14" spans="1:19" s="3" customFormat="1" ht="30" customHeight="1" x14ac:dyDescent="0.3">
      <c r="A14" s="4" t="s">
        <v>354</v>
      </c>
      <c r="B14" s="5" t="s">
        <v>110</v>
      </c>
      <c r="C14" s="5">
        <v>7</v>
      </c>
      <c r="D14" s="5">
        <v>10</v>
      </c>
      <c r="E14" s="5">
        <v>3</v>
      </c>
      <c r="F14" s="5">
        <v>0</v>
      </c>
      <c r="G14" s="6">
        <v>90</v>
      </c>
      <c r="H14" s="6">
        <v>300</v>
      </c>
      <c r="I14" s="7">
        <v>46035</v>
      </c>
      <c r="J14" s="5"/>
      <c r="O14" s="3" t="s">
        <v>688</v>
      </c>
      <c r="P14" s="3">
        <v>0</v>
      </c>
      <c r="Q14" s="3" t="s">
        <v>689</v>
      </c>
      <c r="R14" s="10" t="s">
        <v>689</v>
      </c>
      <c r="S14" s="3" t="s">
        <v>704</v>
      </c>
    </row>
    <row r="15" spans="1:19" s="3" customFormat="1" ht="30" customHeight="1" x14ac:dyDescent="0.3">
      <c r="A15" s="4" t="s">
        <v>355</v>
      </c>
      <c r="B15" s="5" t="s">
        <v>308</v>
      </c>
      <c r="C15" s="5">
        <v>11</v>
      </c>
      <c r="D15" s="5">
        <v>14</v>
      </c>
      <c r="E15" s="5">
        <v>3</v>
      </c>
      <c r="F15" s="5">
        <v>0</v>
      </c>
      <c r="G15" s="6">
        <v>228.76923076919999</v>
      </c>
      <c r="H15" s="6">
        <v>300</v>
      </c>
      <c r="I15" s="7">
        <v>46035</v>
      </c>
      <c r="J15" s="5"/>
      <c r="O15" s="3" t="s">
        <v>688</v>
      </c>
      <c r="P15" s="3">
        <v>0</v>
      </c>
      <c r="Q15" s="3" t="s">
        <v>689</v>
      </c>
      <c r="R15" s="10" t="s">
        <v>689</v>
      </c>
      <c r="S15" s="3" t="s">
        <v>704</v>
      </c>
    </row>
    <row r="16" spans="1:19" s="3" customFormat="1" ht="30" customHeight="1" x14ac:dyDescent="0.3">
      <c r="A16" s="4" t="s">
        <v>356</v>
      </c>
      <c r="B16" s="5" t="s">
        <v>249</v>
      </c>
      <c r="C16" s="5">
        <v>24</v>
      </c>
      <c r="D16" s="5">
        <v>31</v>
      </c>
      <c r="E16" s="5">
        <v>7</v>
      </c>
      <c r="F16" s="5">
        <v>3</v>
      </c>
      <c r="G16" s="6">
        <v>488.85568371890002</v>
      </c>
      <c r="H16" s="6">
        <v>490</v>
      </c>
      <c r="I16" s="7">
        <v>46122</v>
      </c>
      <c r="J16" s="5"/>
      <c r="L16" s="3">
        <v>8</v>
      </c>
      <c r="M16" s="3">
        <v>9</v>
      </c>
      <c r="O16" s="3" t="s">
        <v>688</v>
      </c>
      <c r="P16" s="3">
        <v>3</v>
      </c>
      <c r="Q16" s="3">
        <v>0</v>
      </c>
      <c r="R16" s="10" t="s">
        <v>692</v>
      </c>
      <c r="S16" s="3" t="s">
        <v>684</v>
      </c>
    </row>
    <row r="17" spans="1:19" s="3" customFormat="1" ht="30" customHeight="1" x14ac:dyDescent="0.3">
      <c r="A17" s="4" t="s">
        <v>357</v>
      </c>
      <c r="B17" s="5" t="s">
        <v>192</v>
      </c>
      <c r="C17" s="5">
        <v>31</v>
      </c>
      <c r="D17" s="5">
        <v>36</v>
      </c>
      <c r="E17" s="5">
        <v>5</v>
      </c>
      <c r="F17" s="5">
        <v>7</v>
      </c>
      <c r="G17" s="6">
        <v>351.02941176489998</v>
      </c>
      <c r="H17" s="6">
        <v>360</v>
      </c>
      <c r="I17" s="7">
        <v>46113</v>
      </c>
      <c r="J17" s="5"/>
      <c r="L17" s="3">
        <v>4.4000000000000004</v>
      </c>
      <c r="M17" s="3">
        <v>21</v>
      </c>
      <c r="O17" s="3" t="s">
        <v>688</v>
      </c>
      <c r="P17" s="3">
        <v>7</v>
      </c>
      <c r="Q17" s="3">
        <v>0</v>
      </c>
      <c r="R17" s="10" t="s">
        <v>692</v>
      </c>
      <c r="S17" s="3" t="s">
        <v>684</v>
      </c>
    </row>
    <row r="18" spans="1:19" s="3" customFormat="1" ht="30" customHeight="1" x14ac:dyDescent="0.3">
      <c r="A18" s="4" t="s">
        <v>358</v>
      </c>
      <c r="B18" s="5" t="s">
        <v>335</v>
      </c>
      <c r="C18" s="5">
        <v>26</v>
      </c>
      <c r="D18" s="5">
        <v>31</v>
      </c>
      <c r="E18" s="5">
        <v>5</v>
      </c>
      <c r="F18" s="5">
        <v>1</v>
      </c>
      <c r="G18" s="6">
        <v>321.06030364859998</v>
      </c>
      <c r="H18" s="6">
        <v>300</v>
      </c>
      <c r="I18" s="7">
        <v>46035</v>
      </c>
      <c r="J18" s="5"/>
      <c r="L18" s="3">
        <v>26</v>
      </c>
      <c r="M18" s="3">
        <v>3</v>
      </c>
      <c r="O18" s="3" t="s">
        <v>688</v>
      </c>
      <c r="P18" s="3">
        <v>1</v>
      </c>
      <c r="Q18" s="3">
        <v>0</v>
      </c>
      <c r="R18" s="10" t="s">
        <v>692</v>
      </c>
      <c r="S18" s="3" t="s">
        <v>684</v>
      </c>
    </row>
    <row r="19" spans="1:19" s="3" customFormat="1" ht="30" customHeight="1" x14ac:dyDescent="0.3">
      <c r="A19" s="4" t="s">
        <v>359</v>
      </c>
      <c r="B19" s="5" t="s">
        <v>148</v>
      </c>
      <c r="C19" s="5">
        <v>0</v>
      </c>
      <c r="D19" s="5">
        <v>0</v>
      </c>
      <c r="E19" s="5">
        <v>0</v>
      </c>
      <c r="F19" s="5">
        <v>0</v>
      </c>
      <c r="G19" s="6">
        <v>360</v>
      </c>
      <c r="H19" s="6">
        <v>420</v>
      </c>
      <c r="I19" s="7">
        <v>45876</v>
      </c>
      <c r="J19" s="5"/>
      <c r="O19" s="3" t="s">
        <v>688</v>
      </c>
      <c r="P19" s="3">
        <v>0</v>
      </c>
      <c r="Q19" s="3" t="s">
        <v>689</v>
      </c>
      <c r="R19" s="10" t="s">
        <v>689</v>
      </c>
      <c r="S19" s="3" t="s">
        <v>703</v>
      </c>
    </row>
    <row r="20" spans="1:19" s="3" customFormat="1" ht="30" customHeight="1" x14ac:dyDescent="0.3">
      <c r="A20" s="4" t="s">
        <v>360</v>
      </c>
      <c r="B20" s="5" t="s">
        <v>323</v>
      </c>
      <c r="C20" s="5">
        <v>73</v>
      </c>
      <c r="D20" s="5">
        <v>82</v>
      </c>
      <c r="E20" s="5">
        <v>9</v>
      </c>
      <c r="F20" s="5">
        <v>7</v>
      </c>
      <c r="G20" s="6">
        <v>324.27985067039998</v>
      </c>
      <c r="H20" s="6">
        <v>315</v>
      </c>
      <c r="I20" s="7">
        <v>45986</v>
      </c>
      <c r="J20" s="5"/>
      <c r="L20" s="3">
        <v>10.4</v>
      </c>
      <c r="M20" s="3">
        <v>21</v>
      </c>
      <c r="O20" s="3" t="s">
        <v>688</v>
      </c>
      <c r="P20" s="3">
        <v>7</v>
      </c>
      <c r="Q20" s="3">
        <v>0</v>
      </c>
      <c r="R20" s="10" t="s">
        <v>692</v>
      </c>
      <c r="S20" s="3" t="s">
        <v>684</v>
      </c>
    </row>
    <row r="21" spans="1:19" s="3" customFormat="1" ht="30" customHeight="1" x14ac:dyDescent="0.3">
      <c r="A21" s="4" t="s">
        <v>361</v>
      </c>
      <c r="B21" s="5" t="s">
        <v>190</v>
      </c>
      <c r="C21" s="5">
        <v>42</v>
      </c>
      <c r="D21" s="5">
        <v>49</v>
      </c>
      <c r="E21" s="5">
        <v>7</v>
      </c>
      <c r="F21" s="5">
        <v>9</v>
      </c>
      <c r="G21" s="6">
        <v>315</v>
      </c>
      <c r="H21" s="6">
        <v>315</v>
      </c>
      <c r="I21" s="7">
        <v>45993</v>
      </c>
      <c r="J21" s="5"/>
      <c r="L21" s="3">
        <v>4.7</v>
      </c>
      <c r="M21" s="3">
        <v>27</v>
      </c>
      <c r="O21" s="3" t="s">
        <v>688</v>
      </c>
      <c r="P21" s="3">
        <v>9</v>
      </c>
      <c r="Q21" s="3">
        <v>0</v>
      </c>
      <c r="R21" s="10" t="s">
        <v>692</v>
      </c>
      <c r="S21" s="3" t="s">
        <v>684</v>
      </c>
    </row>
    <row r="22" spans="1:19" s="3" customFormat="1" ht="30" customHeight="1" x14ac:dyDescent="0.3">
      <c r="A22" s="4" t="s">
        <v>362</v>
      </c>
      <c r="B22" s="5" t="s">
        <v>133</v>
      </c>
      <c r="C22" s="5">
        <v>0</v>
      </c>
      <c r="D22" s="5">
        <v>0</v>
      </c>
      <c r="E22" s="5">
        <v>0</v>
      </c>
      <c r="F22" s="5">
        <v>0</v>
      </c>
      <c r="G22" s="6">
        <v>360</v>
      </c>
      <c r="H22" s="6">
        <v>440</v>
      </c>
      <c r="I22" s="7">
        <v>45876</v>
      </c>
      <c r="J22" s="5"/>
      <c r="O22" s="3" t="s">
        <v>688</v>
      </c>
      <c r="P22" s="3">
        <v>0</v>
      </c>
      <c r="Q22" s="3" t="s">
        <v>689</v>
      </c>
      <c r="R22" s="10" t="s">
        <v>689</v>
      </c>
      <c r="S22" s="3" t="s">
        <v>703</v>
      </c>
    </row>
    <row r="23" spans="1:19" s="3" customFormat="1" ht="30" customHeight="1" x14ac:dyDescent="0.3">
      <c r="A23" s="4" t="s">
        <v>363</v>
      </c>
      <c r="B23" s="5" t="s">
        <v>93</v>
      </c>
      <c r="C23" s="5">
        <v>95</v>
      </c>
      <c r="D23" s="5">
        <v>102</v>
      </c>
      <c r="E23" s="5">
        <v>7</v>
      </c>
      <c r="F23" s="5">
        <v>0</v>
      </c>
      <c r="G23" s="6">
        <v>417.90077355019997</v>
      </c>
      <c r="H23" s="6">
        <v>418</v>
      </c>
      <c r="I23" s="7">
        <v>45993</v>
      </c>
      <c r="J23" s="5"/>
      <c r="O23" s="3" t="s">
        <v>688</v>
      </c>
      <c r="P23" s="3">
        <v>0</v>
      </c>
      <c r="Q23" s="3" t="s">
        <v>689</v>
      </c>
      <c r="R23" s="10" t="s">
        <v>689</v>
      </c>
      <c r="S23" s="3" t="s">
        <v>704</v>
      </c>
    </row>
    <row r="24" spans="1:19" s="3" customFormat="1" ht="30" customHeight="1" x14ac:dyDescent="0.3">
      <c r="A24" s="4" t="s">
        <v>364</v>
      </c>
      <c r="B24" s="5" t="s">
        <v>282</v>
      </c>
      <c r="C24" s="5">
        <v>87</v>
      </c>
      <c r="D24" s="5">
        <v>93</v>
      </c>
      <c r="E24" s="5">
        <v>6</v>
      </c>
      <c r="F24" s="5">
        <v>8</v>
      </c>
      <c r="G24" s="6">
        <v>399.91519191039998</v>
      </c>
      <c r="H24" s="6">
        <v>418.5</v>
      </c>
      <c r="I24" s="7">
        <v>45993</v>
      </c>
      <c r="J24" s="5"/>
      <c r="L24" s="3">
        <v>10.9</v>
      </c>
      <c r="M24" s="3">
        <v>24</v>
      </c>
      <c r="O24" s="3" t="s">
        <v>688</v>
      </c>
      <c r="P24" s="3">
        <v>8</v>
      </c>
      <c r="Q24" s="3">
        <v>0</v>
      </c>
      <c r="R24" s="10" t="s">
        <v>692</v>
      </c>
      <c r="S24" s="3" t="s">
        <v>684</v>
      </c>
    </row>
    <row r="25" spans="1:19" s="3" customFormat="1" ht="30" customHeight="1" x14ac:dyDescent="0.3">
      <c r="A25" s="4" t="s">
        <v>365</v>
      </c>
      <c r="B25" s="5" t="s">
        <v>304</v>
      </c>
      <c r="C25" s="5">
        <v>17</v>
      </c>
      <c r="D25" s="5">
        <v>24</v>
      </c>
      <c r="E25" s="5">
        <v>7</v>
      </c>
      <c r="F25" s="5">
        <v>2</v>
      </c>
      <c r="G25" s="6">
        <v>558.76011299499999</v>
      </c>
      <c r="H25" s="6">
        <v>561.6</v>
      </c>
      <c r="I25" s="7">
        <v>45959</v>
      </c>
      <c r="J25" s="5"/>
      <c r="L25" s="3">
        <v>8.5</v>
      </c>
      <c r="M25" s="3">
        <v>6</v>
      </c>
      <c r="O25" s="3" t="s">
        <v>688</v>
      </c>
      <c r="P25" s="3">
        <v>2</v>
      </c>
      <c r="Q25" s="3">
        <v>0</v>
      </c>
      <c r="R25" s="10" t="s">
        <v>692</v>
      </c>
      <c r="S25" s="3" t="s">
        <v>684</v>
      </c>
    </row>
    <row r="26" spans="1:19" s="3" customFormat="1" ht="30" customHeight="1" x14ac:dyDescent="0.3">
      <c r="A26" s="4" t="s">
        <v>366</v>
      </c>
      <c r="B26" s="5" t="s">
        <v>241</v>
      </c>
      <c r="C26" s="5">
        <v>35</v>
      </c>
      <c r="D26" s="5">
        <v>42</v>
      </c>
      <c r="E26" s="5">
        <v>7</v>
      </c>
      <c r="F26" s="5">
        <v>6</v>
      </c>
      <c r="G26" s="6">
        <v>579.61471050529997</v>
      </c>
      <c r="H26" s="6">
        <v>545</v>
      </c>
      <c r="I26" s="7">
        <v>45993</v>
      </c>
      <c r="J26" s="5"/>
      <c r="L26" s="3">
        <v>5.8</v>
      </c>
      <c r="M26" s="3">
        <v>18</v>
      </c>
      <c r="O26" s="3" t="s">
        <v>688</v>
      </c>
      <c r="P26" s="3">
        <v>6</v>
      </c>
      <c r="Q26" s="3">
        <v>0</v>
      </c>
      <c r="R26" s="10" t="s">
        <v>692</v>
      </c>
      <c r="S26" s="3" t="s">
        <v>684</v>
      </c>
    </row>
    <row r="27" spans="1:19" s="3" customFormat="1" ht="30" customHeight="1" x14ac:dyDescent="0.3">
      <c r="A27" s="4" t="s">
        <v>367</v>
      </c>
      <c r="B27" s="5" t="s">
        <v>88</v>
      </c>
      <c r="C27" s="5">
        <v>0</v>
      </c>
      <c r="D27" s="5">
        <v>0</v>
      </c>
      <c r="E27" s="5">
        <v>0</v>
      </c>
      <c r="F27" s="5">
        <v>0</v>
      </c>
      <c r="G27" s="6">
        <v>550</v>
      </c>
      <c r="H27" s="6">
        <v>550</v>
      </c>
      <c r="I27" s="7">
        <v>45141</v>
      </c>
      <c r="J27" s="5"/>
      <c r="O27" s="3" t="s">
        <v>688</v>
      </c>
      <c r="P27" s="3">
        <v>0</v>
      </c>
      <c r="Q27" s="3" t="s">
        <v>689</v>
      </c>
      <c r="R27" s="10" t="s">
        <v>689</v>
      </c>
      <c r="S27" s="3" t="s">
        <v>703</v>
      </c>
    </row>
    <row r="28" spans="1:19" s="3" customFormat="1" ht="30" customHeight="1" x14ac:dyDescent="0.3">
      <c r="A28" s="4" t="s">
        <v>368</v>
      </c>
      <c r="B28" s="5" t="s">
        <v>66</v>
      </c>
      <c r="C28" s="5">
        <v>5</v>
      </c>
      <c r="D28" s="5">
        <v>10</v>
      </c>
      <c r="E28" s="5">
        <v>5</v>
      </c>
      <c r="F28" s="5">
        <v>0</v>
      </c>
      <c r="G28" s="6">
        <v>377.50130718359998</v>
      </c>
      <c r="H28" s="6">
        <v>360</v>
      </c>
      <c r="I28" s="7">
        <v>45635</v>
      </c>
      <c r="J28" s="5"/>
      <c r="O28" s="3" t="s">
        <v>688</v>
      </c>
      <c r="P28" s="3">
        <v>0</v>
      </c>
      <c r="Q28" s="3" t="s">
        <v>689</v>
      </c>
      <c r="R28" s="10" t="s">
        <v>689</v>
      </c>
      <c r="S28" s="3" t="s">
        <v>704</v>
      </c>
    </row>
    <row r="29" spans="1:19" s="3" customFormat="1" ht="30" customHeight="1" x14ac:dyDescent="0.3">
      <c r="A29" s="4" t="s">
        <v>369</v>
      </c>
      <c r="B29" s="5" t="s">
        <v>205</v>
      </c>
      <c r="C29" s="5">
        <v>18</v>
      </c>
      <c r="D29" s="5">
        <v>21</v>
      </c>
      <c r="E29" s="5">
        <v>3</v>
      </c>
      <c r="F29" s="5">
        <v>5</v>
      </c>
      <c r="G29" s="6">
        <v>308.26807760140002</v>
      </c>
      <c r="H29" s="6">
        <v>300</v>
      </c>
      <c r="I29" s="7">
        <v>46072</v>
      </c>
      <c r="J29" s="5"/>
      <c r="L29" s="3">
        <v>3.6</v>
      </c>
      <c r="M29" s="3">
        <v>15</v>
      </c>
      <c r="O29" s="3" t="s">
        <v>688</v>
      </c>
      <c r="P29" s="3">
        <v>5</v>
      </c>
      <c r="Q29" s="3">
        <v>0</v>
      </c>
      <c r="R29" s="10" t="s">
        <v>692</v>
      </c>
      <c r="S29" s="3" t="s">
        <v>684</v>
      </c>
    </row>
    <row r="30" spans="1:19" s="3" customFormat="1" ht="30" customHeight="1" x14ac:dyDescent="0.3">
      <c r="A30" s="4" t="s">
        <v>370</v>
      </c>
      <c r="B30" s="5" t="s">
        <v>307</v>
      </c>
      <c r="C30" s="5">
        <v>22</v>
      </c>
      <c r="D30" s="5">
        <v>27</v>
      </c>
      <c r="E30" s="5">
        <v>5</v>
      </c>
      <c r="F30" s="5">
        <v>2</v>
      </c>
      <c r="G30" s="6">
        <v>498.01758048900001</v>
      </c>
      <c r="H30" s="6">
        <v>490</v>
      </c>
      <c r="I30" s="7">
        <v>46100</v>
      </c>
      <c r="J30" s="5"/>
      <c r="L30" s="3">
        <v>11</v>
      </c>
      <c r="M30" s="3">
        <v>6</v>
      </c>
      <c r="O30" s="3" t="s">
        <v>688</v>
      </c>
      <c r="P30" s="3">
        <v>2</v>
      </c>
      <c r="Q30" s="3">
        <v>0</v>
      </c>
      <c r="R30" s="10" t="s">
        <v>692</v>
      </c>
      <c r="S30" s="3" t="s">
        <v>684</v>
      </c>
    </row>
    <row r="31" spans="1:19" s="3" customFormat="1" ht="30" customHeight="1" x14ac:dyDescent="0.3">
      <c r="A31" s="4" t="s">
        <v>371</v>
      </c>
      <c r="B31" s="5" t="s">
        <v>212</v>
      </c>
      <c r="C31" s="5">
        <v>18</v>
      </c>
      <c r="D31" s="5">
        <v>23</v>
      </c>
      <c r="E31" s="5">
        <v>5</v>
      </c>
      <c r="F31" s="5">
        <v>5</v>
      </c>
      <c r="G31" s="6">
        <v>490.4096790891</v>
      </c>
      <c r="H31" s="6">
        <v>410</v>
      </c>
      <c r="I31" s="7">
        <v>46038</v>
      </c>
      <c r="J31" s="5"/>
      <c r="L31" s="3">
        <v>3.6</v>
      </c>
      <c r="M31" s="3">
        <v>15</v>
      </c>
      <c r="O31" s="3" t="s">
        <v>688</v>
      </c>
      <c r="P31" s="3">
        <v>5</v>
      </c>
      <c r="Q31" s="3">
        <v>0</v>
      </c>
      <c r="R31" s="10" t="s">
        <v>692</v>
      </c>
      <c r="S31" s="3" t="s">
        <v>684</v>
      </c>
    </row>
    <row r="32" spans="1:19" s="3" customFormat="1" ht="30" customHeight="1" x14ac:dyDescent="0.3">
      <c r="A32" s="4" t="s">
        <v>372</v>
      </c>
      <c r="B32" s="5" t="s">
        <v>198</v>
      </c>
      <c r="C32" s="5">
        <v>18</v>
      </c>
      <c r="D32" s="5">
        <v>23</v>
      </c>
      <c r="E32" s="5">
        <v>5</v>
      </c>
      <c r="F32" s="5">
        <v>5</v>
      </c>
      <c r="G32" s="6">
        <v>426.58238813470001</v>
      </c>
      <c r="H32" s="6">
        <v>318</v>
      </c>
      <c r="I32" s="7">
        <v>46099</v>
      </c>
      <c r="J32" s="5"/>
      <c r="L32" s="3">
        <v>3.6</v>
      </c>
      <c r="M32" s="3">
        <v>15</v>
      </c>
      <c r="O32" s="3" t="s">
        <v>688</v>
      </c>
      <c r="P32" s="3">
        <v>5</v>
      </c>
      <c r="Q32" s="3">
        <v>0</v>
      </c>
      <c r="R32" s="10" t="s">
        <v>692</v>
      </c>
      <c r="S32" s="3" t="s">
        <v>684</v>
      </c>
    </row>
    <row r="33" spans="1:19" s="3" customFormat="1" ht="30" customHeight="1" x14ac:dyDescent="0.3">
      <c r="A33" s="4" t="s">
        <v>373</v>
      </c>
      <c r="B33" s="5" t="s">
        <v>204</v>
      </c>
      <c r="C33" s="5">
        <v>16</v>
      </c>
      <c r="D33" s="5">
        <v>21</v>
      </c>
      <c r="E33" s="5">
        <v>5</v>
      </c>
      <c r="F33" s="5">
        <v>7</v>
      </c>
      <c r="G33" s="6">
        <v>316.79837228060001</v>
      </c>
      <c r="H33" s="6">
        <v>370</v>
      </c>
      <c r="I33" s="7">
        <v>45995</v>
      </c>
      <c r="J33" s="5"/>
      <c r="L33" s="3">
        <v>2.2999999999999998</v>
      </c>
      <c r="M33" s="3">
        <v>21</v>
      </c>
      <c r="O33" s="3" t="s">
        <v>688</v>
      </c>
      <c r="P33" s="3">
        <v>7</v>
      </c>
      <c r="Q33" s="3">
        <v>12</v>
      </c>
      <c r="R33" s="10" t="s">
        <v>692</v>
      </c>
      <c r="S33" s="3" t="s">
        <v>686</v>
      </c>
    </row>
    <row r="34" spans="1:19" s="3" customFormat="1" ht="30" customHeight="1" x14ac:dyDescent="0.3">
      <c r="A34" s="4" t="s">
        <v>374</v>
      </c>
      <c r="B34" s="5" t="s">
        <v>189</v>
      </c>
      <c r="C34" s="5">
        <v>15</v>
      </c>
      <c r="D34" s="5">
        <v>20</v>
      </c>
      <c r="E34" s="5">
        <v>5</v>
      </c>
      <c r="F34" s="5">
        <v>6</v>
      </c>
      <c r="G34" s="6">
        <v>277.98421528099999</v>
      </c>
      <c r="H34" s="6">
        <v>278</v>
      </c>
      <c r="I34" s="7">
        <v>46079</v>
      </c>
      <c r="J34" s="5"/>
      <c r="L34" s="3">
        <v>2.5</v>
      </c>
      <c r="M34" s="3">
        <v>18</v>
      </c>
      <c r="O34" s="3" t="s">
        <v>688</v>
      </c>
      <c r="P34" s="3">
        <v>6</v>
      </c>
      <c r="Q34" s="3">
        <v>9</v>
      </c>
      <c r="R34" s="10" t="s">
        <v>692</v>
      </c>
      <c r="S34" s="3" t="s">
        <v>686</v>
      </c>
    </row>
    <row r="35" spans="1:19" s="3" customFormat="1" ht="30" customHeight="1" x14ac:dyDescent="0.3">
      <c r="A35" s="4" t="s">
        <v>375</v>
      </c>
      <c r="B35" s="5" t="s">
        <v>330</v>
      </c>
      <c r="C35" s="5">
        <v>45</v>
      </c>
      <c r="D35" s="5">
        <v>49</v>
      </c>
      <c r="E35" s="5">
        <v>4</v>
      </c>
      <c r="F35" s="5">
        <v>1</v>
      </c>
      <c r="G35" s="6">
        <v>458.14941924589999</v>
      </c>
      <c r="H35" s="6">
        <v>410</v>
      </c>
      <c r="I35" s="7">
        <v>46079</v>
      </c>
      <c r="J35" s="5"/>
      <c r="L35" s="3">
        <v>45</v>
      </c>
      <c r="M35" s="3">
        <v>3</v>
      </c>
      <c r="O35" s="3" t="s">
        <v>688</v>
      </c>
      <c r="P35" s="3">
        <v>1</v>
      </c>
      <c r="Q35" s="3">
        <v>0</v>
      </c>
      <c r="R35" s="10" t="s">
        <v>692</v>
      </c>
      <c r="S35" s="3" t="s">
        <v>684</v>
      </c>
    </row>
    <row r="36" spans="1:19" s="3" customFormat="1" ht="30" customHeight="1" x14ac:dyDescent="0.3">
      <c r="A36" s="4" t="s">
        <v>376</v>
      </c>
      <c r="B36" s="5" t="s">
        <v>233</v>
      </c>
      <c r="C36" s="5">
        <v>33</v>
      </c>
      <c r="D36" s="5">
        <v>38</v>
      </c>
      <c r="E36" s="5">
        <v>5</v>
      </c>
      <c r="F36" s="5">
        <v>5</v>
      </c>
      <c r="G36" s="6">
        <v>383.71648245429998</v>
      </c>
      <c r="H36" s="6">
        <v>318</v>
      </c>
      <c r="I36" s="7">
        <v>46099</v>
      </c>
      <c r="J36" s="5"/>
      <c r="L36" s="3">
        <v>6.6</v>
      </c>
      <c r="M36" s="3">
        <v>15</v>
      </c>
      <c r="O36" s="3" t="s">
        <v>688</v>
      </c>
      <c r="P36" s="3">
        <v>5</v>
      </c>
      <c r="Q36" s="3">
        <v>0</v>
      </c>
      <c r="R36" s="10" t="s">
        <v>692</v>
      </c>
      <c r="S36" s="3" t="s">
        <v>684</v>
      </c>
    </row>
    <row r="37" spans="1:19" s="3" customFormat="1" ht="30" customHeight="1" x14ac:dyDescent="0.3">
      <c r="A37" s="4" t="s">
        <v>377</v>
      </c>
      <c r="B37" s="5" t="s">
        <v>291</v>
      </c>
      <c r="C37" s="5">
        <v>26</v>
      </c>
      <c r="D37" s="5">
        <v>31</v>
      </c>
      <c r="E37" s="5">
        <v>5</v>
      </c>
      <c r="F37" s="5">
        <v>3</v>
      </c>
      <c r="G37" s="6">
        <v>424.74970705840002</v>
      </c>
      <c r="H37" s="6">
        <v>480</v>
      </c>
      <c r="I37" s="7">
        <v>46120</v>
      </c>
      <c r="J37" s="5"/>
      <c r="L37" s="3">
        <v>8.6999999999999993</v>
      </c>
      <c r="M37" s="3">
        <v>9</v>
      </c>
      <c r="O37" s="3" t="s">
        <v>688</v>
      </c>
      <c r="P37" s="3">
        <v>3</v>
      </c>
      <c r="Q37" s="3">
        <v>0</v>
      </c>
      <c r="R37" s="10" t="s">
        <v>692</v>
      </c>
      <c r="S37" s="3" t="s">
        <v>684</v>
      </c>
    </row>
    <row r="38" spans="1:19" s="3" customFormat="1" ht="30" customHeight="1" x14ac:dyDescent="0.3">
      <c r="A38" s="4" t="s">
        <v>378</v>
      </c>
      <c r="B38" s="5" t="s">
        <v>266</v>
      </c>
      <c r="C38" s="5">
        <v>9</v>
      </c>
      <c r="D38" s="5">
        <v>14</v>
      </c>
      <c r="E38" s="5">
        <v>5</v>
      </c>
      <c r="F38" s="5">
        <v>3</v>
      </c>
      <c r="G38" s="6">
        <v>252.9637566721</v>
      </c>
      <c r="H38" s="6">
        <v>280</v>
      </c>
      <c r="I38" s="7">
        <v>46080</v>
      </c>
      <c r="J38" s="5"/>
      <c r="L38" s="3">
        <v>3</v>
      </c>
      <c r="M38" s="3">
        <v>9</v>
      </c>
      <c r="O38" s="3" t="s">
        <v>688</v>
      </c>
      <c r="P38" s="3">
        <v>3</v>
      </c>
      <c r="Q38" s="3">
        <v>3</v>
      </c>
      <c r="R38" s="10" t="s">
        <v>692</v>
      </c>
      <c r="S38" s="3" t="s">
        <v>686</v>
      </c>
    </row>
    <row r="39" spans="1:19" s="3" customFormat="1" ht="30" customHeight="1" x14ac:dyDescent="0.3">
      <c r="A39" s="4" t="s">
        <v>379</v>
      </c>
      <c r="B39" s="5" t="s">
        <v>292</v>
      </c>
      <c r="C39" s="5">
        <v>17</v>
      </c>
      <c r="D39" s="5">
        <v>21</v>
      </c>
      <c r="E39" s="5">
        <v>4</v>
      </c>
      <c r="F39" s="5">
        <v>2</v>
      </c>
      <c r="G39" s="6">
        <v>315.96427172</v>
      </c>
      <c r="H39" s="6">
        <v>2985</v>
      </c>
      <c r="I39" s="7">
        <v>45995</v>
      </c>
      <c r="J39" s="5"/>
      <c r="L39" s="3">
        <v>8.5</v>
      </c>
      <c r="M39" s="3">
        <v>6</v>
      </c>
      <c r="O39" s="3" t="s">
        <v>688</v>
      </c>
      <c r="P39" s="3">
        <v>2</v>
      </c>
      <c r="Q39" s="3">
        <v>0</v>
      </c>
      <c r="R39" s="10" t="s">
        <v>692</v>
      </c>
      <c r="S39" s="3" t="s">
        <v>684</v>
      </c>
    </row>
    <row r="40" spans="1:19" s="3" customFormat="1" ht="30" customHeight="1" x14ac:dyDescent="0.3">
      <c r="A40" s="4" t="s">
        <v>380</v>
      </c>
      <c r="B40" s="5" t="s">
        <v>322</v>
      </c>
      <c r="C40" s="5">
        <v>14</v>
      </c>
      <c r="D40" s="5">
        <v>20</v>
      </c>
      <c r="E40" s="5">
        <v>6</v>
      </c>
      <c r="F40" s="5">
        <v>1</v>
      </c>
      <c r="G40" s="6">
        <v>138.17478780850001</v>
      </c>
      <c r="H40" s="6">
        <v>460</v>
      </c>
      <c r="I40" s="7">
        <v>46100</v>
      </c>
      <c r="J40" s="5"/>
      <c r="L40" s="3">
        <v>14</v>
      </c>
      <c r="M40" s="3">
        <v>3</v>
      </c>
      <c r="O40" s="3" t="s">
        <v>688</v>
      </c>
      <c r="P40" s="3">
        <v>1</v>
      </c>
      <c r="Q40" s="3">
        <v>0</v>
      </c>
      <c r="R40" s="10" t="s">
        <v>692</v>
      </c>
      <c r="S40" s="3" t="s">
        <v>684</v>
      </c>
    </row>
    <row r="41" spans="1:19" s="3" customFormat="1" ht="30" customHeight="1" x14ac:dyDescent="0.3">
      <c r="A41" s="4" t="s">
        <v>381</v>
      </c>
      <c r="B41" s="5" t="s">
        <v>254</v>
      </c>
      <c r="C41" s="5">
        <v>21</v>
      </c>
      <c r="D41" s="5">
        <v>25</v>
      </c>
      <c r="E41" s="5">
        <v>4</v>
      </c>
      <c r="F41" s="5">
        <v>2</v>
      </c>
      <c r="G41" s="6">
        <v>427.6000000002</v>
      </c>
      <c r="H41" s="6">
        <v>318</v>
      </c>
      <c r="I41" s="7">
        <v>46113</v>
      </c>
      <c r="J41" s="5"/>
      <c r="L41" s="3">
        <v>10.5</v>
      </c>
      <c r="M41" s="3">
        <v>6</v>
      </c>
      <c r="O41" s="3" t="s">
        <v>688</v>
      </c>
      <c r="P41" s="3">
        <v>2</v>
      </c>
      <c r="Q41" s="3">
        <v>0</v>
      </c>
      <c r="R41" s="10" t="s">
        <v>692</v>
      </c>
      <c r="S41" s="3" t="s">
        <v>684</v>
      </c>
    </row>
    <row r="42" spans="1:19" s="3" customFormat="1" ht="30" customHeight="1" x14ac:dyDescent="0.3">
      <c r="A42" s="4" t="s">
        <v>382</v>
      </c>
      <c r="B42" s="5" t="s">
        <v>340</v>
      </c>
      <c r="C42" s="5">
        <v>48</v>
      </c>
      <c r="D42" s="5">
        <v>54</v>
      </c>
      <c r="E42" s="5">
        <v>6</v>
      </c>
      <c r="F42" s="5">
        <v>1</v>
      </c>
      <c r="G42" s="6">
        <v>462.88589650030002</v>
      </c>
      <c r="H42" s="6">
        <v>435</v>
      </c>
      <c r="I42" s="7">
        <v>46035</v>
      </c>
      <c r="J42" s="5"/>
      <c r="L42" s="3">
        <v>48</v>
      </c>
      <c r="M42" s="3">
        <v>3</v>
      </c>
      <c r="O42" s="3" t="s">
        <v>688</v>
      </c>
      <c r="P42" s="3">
        <v>1</v>
      </c>
      <c r="Q42" s="3">
        <v>0</v>
      </c>
      <c r="R42" s="10" t="s">
        <v>692</v>
      </c>
      <c r="S42" s="3" t="s">
        <v>684</v>
      </c>
    </row>
    <row r="43" spans="1:19" s="3" customFormat="1" ht="30" customHeight="1" x14ac:dyDescent="0.3">
      <c r="A43" s="4" t="s">
        <v>383</v>
      </c>
      <c r="B43" s="5" t="s">
        <v>338</v>
      </c>
      <c r="C43" s="5">
        <v>34</v>
      </c>
      <c r="D43" s="5">
        <v>39</v>
      </c>
      <c r="E43" s="5">
        <v>5</v>
      </c>
      <c r="F43" s="5">
        <v>1</v>
      </c>
      <c r="G43" s="6">
        <v>492.22651032329998</v>
      </c>
      <c r="H43" s="6">
        <v>368</v>
      </c>
      <c r="I43" s="7">
        <v>46136</v>
      </c>
      <c r="J43" s="5"/>
      <c r="L43" s="3">
        <v>34</v>
      </c>
      <c r="M43" s="3">
        <v>3</v>
      </c>
      <c r="O43" s="3" t="s">
        <v>688</v>
      </c>
      <c r="P43" s="3">
        <v>1</v>
      </c>
      <c r="Q43" s="3">
        <v>0</v>
      </c>
      <c r="R43" s="10" t="s">
        <v>692</v>
      </c>
      <c r="S43" s="3" t="s">
        <v>684</v>
      </c>
    </row>
    <row r="44" spans="1:19" s="3" customFormat="1" ht="30" customHeight="1" x14ac:dyDescent="0.3">
      <c r="A44" s="4" t="s">
        <v>384</v>
      </c>
      <c r="B44" s="5" t="s">
        <v>42</v>
      </c>
      <c r="C44" s="5">
        <v>15</v>
      </c>
      <c r="D44" s="5">
        <v>20</v>
      </c>
      <c r="E44" s="5">
        <v>5</v>
      </c>
      <c r="F44" s="5">
        <v>1</v>
      </c>
      <c r="G44" s="6">
        <v>441.38858377050002</v>
      </c>
      <c r="H44" s="6">
        <v>315</v>
      </c>
      <c r="I44" s="7">
        <v>45959</v>
      </c>
      <c r="J44" s="5"/>
      <c r="L44" s="3">
        <v>15</v>
      </c>
      <c r="M44" s="3">
        <v>3</v>
      </c>
      <c r="O44" s="3" t="s">
        <v>688</v>
      </c>
      <c r="P44" s="3">
        <v>1</v>
      </c>
      <c r="Q44" s="3">
        <v>0</v>
      </c>
      <c r="R44" s="10" t="s">
        <v>692</v>
      </c>
      <c r="S44" s="3" t="s">
        <v>684</v>
      </c>
    </row>
    <row r="45" spans="1:19" s="3" customFormat="1" ht="30" customHeight="1" x14ac:dyDescent="0.3">
      <c r="A45" s="4" t="s">
        <v>385</v>
      </c>
      <c r="B45" s="5" t="s">
        <v>326</v>
      </c>
      <c r="C45" s="5">
        <v>19</v>
      </c>
      <c r="D45" s="5">
        <v>22</v>
      </c>
      <c r="E45" s="5">
        <v>3</v>
      </c>
      <c r="F45" s="5">
        <v>11</v>
      </c>
      <c r="G45" s="6">
        <v>461.36688159660002</v>
      </c>
      <c r="H45" s="6">
        <v>460</v>
      </c>
      <c r="I45" s="7">
        <v>46113</v>
      </c>
      <c r="J45" s="5"/>
      <c r="L45" s="3">
        <v>1.7</v>
      </c>
      <c r="M45" s="3">
        <v>33</v>
      </c>
      <c r="O45" s="3" t="s">
        <v>688</v>
      </c>
      <c r="P45" s="3">
        <v>11</v>
      </c>
      <c r="Q45" s="3">
        <v>26</v>
      </c>
      <c r="R45" s="10" t="s">
        <v>692</v>
      </c>
      <c r="S45" s="3" t="s">
        <v>686</v>
      </c>
    </row>
    <row r="46" spans="1:19" s="3" customFormat="1" ht="30" customHeight="1" x14ac:dyDescent="0.3">
      <c r="A46" s="4" t="s">
        <v>386</v>
      </c>
      <c r="B46" s="5" t="s">
        <v>339</v>
      </c>
      <c r="C46" s="5">
        <v>48</v>
      </c>
      <c r="D46" s="5">
        <v>52</v>
      </c>
      <c r="E46" s="5">
        <v>4</v>
      </c>
      <c r="F46" s="5">
        <v>2</v>
      </c>
      <c r="G46" s="6">
        <v>495.42678276729998</v>
      </c>
      <c r="H46" s="6">
        <v>600</v>
      </c>
      <c r="I46" s="7">
        <v>45967</v>
      </c>
      <c r="J46" s="5"/>
      <c r="L46" s="3">
        <v>24</v>
      </c>
      <c r="M46" s="3">
        <v>6</v>
      </c>
      <c r="O46" s="3" t="s">
        <v>688</v>
      </c>
      <c r="P46" s="3">
        <v>2</v>
      </c>
      <c r="Q46" s="3">
        <v>0</v>
      </c>
      <c r="R46" s="10" t="s">
        <v>692</v>
      </c>
      <c r="S46" s="3" t="s">
        <v>684</v>
      </c>
    </row>
    <row r="47" spans="1:19" s="3" customFormat="1" ht="30" customHeight="1" x14ac:dyDescent="0.3">
      <c r="A47" s="4" t="s">
        <v>387</v>
      </c>
      <c r="B47" s="5" t="s">
        <v>296</v>
      </c>
      <c r="C47" s="5">
        <v>15</v>
      </c>
      <c r="D47" s="5">
        <v>22</v>
      </c>
      <c r="E47" s="5">
        <v>7</v>
      </c>
      <c r="F47" s="5">
        <v>1</v>
      </c>
      <c r="G47" s="6">
        <v>485.1818814664</v>
      </c>
      <c r="H47" s="6">
        <v>420</v>
      </c>
      <c r="I47" s="7">
        <v>46132</v>
      </c>
      <c r="J47" s="5"/>
      <c r="L47" s="3">
        <v>15</v>
      </c>
      <c r="M47" s="3">
        <v>3</v>
      </c>
      <c r="O47" s="3" t="s">
        <v>688</v>
      </c>
      <c r="P47" s="3">
        <v>1</v>
      </c>
      <c r="Q47" s="3">
        <v>0</v>
      </c>
      <c r="R47" s="10" t="s">
        <v>692</v>
      </c>
      <c r="S47" s="3" t="s">
        <v>684</v>
      </c>
    </row>
    <row r="48" spans="1:19" s="3" customFormat="1" ht="30" customHeight="1" x14ac:dyDescent="0.3">
      <c r="A48" s="4" t="s">
        <v>388</v>
      </c>
      <c r="B48" s="5" t="s">
        <v>187</v>
      </c>
      <c r="C48" s="5">
        <v>35</v>
      </c>
      <c r="D48" s="5">
        <v>46</v>
      </c>
      <c r="E48" s="5">
        <v>11</v>
      </c>
      <c r="F48" s="5">
        <v>12</v>
      </c>
      <c r="G48" s="6">
        <v>376.42978510789999</v>
      </c>
      <c r="H48" s="6">
        <v>370</v>
      </c>
      <c r="I48" s="7">
        <v>46142</v>
      </c>
      <c r="J48" s="5"/>
      <c r="L48" s="3">
        <v>2.9</v>
      </c>
      <c r="M48" s="3">
        <v>36</v>
      </c>
      <c r="O48" s="3" t="s">
        <v>688</v>
      </c>
      <c r="P48" s="3">
        <v>12</v>
      </c>
      <c r="Q48" s="3">
        <v>14</v>
      </c>
      <c r="R48" s="10" t="s">
        <v>692</v>
      </c>
      <c r="S48" s="3" t="s">
        <v>686</v>
      </c>
    </row>
    <row r="49" spans="1:19" s="3" customFormat="1" ht="30" customHeight="1" x14ac:dyDescent="0.3">
      <c r="A49" s="4" t="s">
        <v>389</v>
      </c>
      <c r="B49" s="5" t="s">
        <v>333</v>
      </c>
      <c r="C49" s="5">
        <v>19</v>
      </c>
      <c r="D49" s="5">
        <v>28</v>
      </c>
      <c r="E49" s="5">
        <v>9</v>
      </c>
      <c r="F49" s="5">
        <v>4</v>
      </c>
      <c r="G49" s="6">
        <v>490.75614491810001</v>
      </c>
      <c r="H49" s="6">
        <v>495</v>
      </c>
      <c r="I49" s="7">
        <v>45974</v>
      </c>
      <c r="J49" s="5"/>
      <c r="L49" s="3">
        <v>4.8</v>
      </c>
      <c r="M49" s="3">
        <v>12</v>
      </c>
      <c r="O49" s="3" t="s">
        <v>688</v>
      </c>
      <c r="P49" s="3">
        <v>4</v>
      </c>
      <c r="Q49" s="3">
        <v>0</v>
      </c>
      <c r="R49" s="10" t="s">
        <v>692</v>
      </c>
      <c r="S49" s="3" t="s">
        <v>684</v>
      </c>
    </row>
    <row r="50" spans="1:19" s="3" customFormat="1" ht="30" customHeight="1" x14ac:dyDescent="0.3">
      <c r="A50" s="4" t="s">
        <v>390</v>
      </c>
      <c r="B50" s="5" t="s">
        <v>199</v>
      </c>
      <c r="C50" s="5">
        <v>57</v>
      </c>
      <c r="D50" s="5">
        <v>63</v>
      </c>
      <c r="E50" s="5">
        <v>6</v>
      </c>
      <c r="F50" s="5">
        <v>11</v>
      </c>
      <c r="G50" s="6">
        <v>315</v>
      </c>
      <c r="H50" s="6">
        <v>315</v>
      </c>
      <c r="I50" s="7">
        <v>46119</v>
      </c>
      <c r="J50" s="5"/>
      <c r="L50" s="3">
        <v>5.2</v>
      </c>
      <c r="M50" s="3">
        <v>33</v>
      </c>
      <c r="O50" s="3" t="s">
        <v>688</v>
      </c>
      <c r="P50" s="3">
        <v>11</v>
      </c>
      <c r="Q50" s="3">
        <v>0</v>
      </c>
      <c r="R50" s="10" t="s">
        <v>692</v>
      </c>
      <c r="S50" s="3" t="s">
        <v>684</v>
      </c>
    </row>
    <row r="51" spans="1:19" s="3" customFormat="1" ht="30" customHeight="1" x14ac:dyDescent="0.3">
      <c r="A51" s="4" t="s">
        <v>391</v>
      </c>
      <c r="B51" s="5" t="s">
        <v>321</v>
      </c>
      <c r="C51" s="5">
        <v>16</v>
      </c>
      <c r="D51" s="5">
        <v>19</v>
      </c>
      <c r="E51" s="5">
        <v>3</v>
      </c>
      <c r="F51" s="5">
        <v>4</v>
      </c>
      <c r="G51" s="6">
        <v>128.28684210540001</v>
      </c>
      <c r="H51" s="6">
        <v>540</v>
      </c>
      <c r="I51" s="7">
        <v>45993</v>
      </c>
      <c r="J51" s="5"/>
      <c r="L51" s="3">
        <v>4</v>
      </c>
      <c r="M51" s="3">
        <v>12</v>
      </c>
      <c r="O51" s="3" t="s">
        <v>688</v>
      </c>
      <c r="P51" s="3">
        <v>4</v>
      </c>
      <c r="Q51" s="3">
        <v>0</v>
      </c>
      <c r="R51" s="10" t="s">
        <v>692</v>
      </c>
      <c r="S51" s="3" t="s">
        <v>684</v>
      </c>
    </row>
    <row r="52" spans="1:19" s="3" customFormat="1" ht="30" customHeight="1" x14ac:dyDescent="0.3">
      <c r="A52" s="4" t="s">
        <v>392</v>
      </c>
      <c r="B52" s="5" t="s">
        <v>103</v>
      </c>
      <c r="C52" s="5">
        <v>15</v>
      </c>
      <c r="D52" s="5">
        <v>15</v>
      </c>
      <c r="E52" s="5">
        <v>0</v>
      </c>
      <c r="F52" s="5">
        <v>0</v>
      </c>
      <c r="G52" s="6">
        <v>318</v>
      </c>
      <c r="H52" s="6">
        <v>318</v>
      </c>
      <c r="I52" s="7">
        <v>46113</v>
      </c>
      <c r="J52" s="5"/>
      <c r="O52" s="3" t="s">
        <v>688</v>
      </c>
      <c r="P52" s="3">
        <v>0</v>
      </c>
      <c r="Q52" s="3" t="s">
        <v>689</v>
      </c>
      <c r="R52" s="10" t="s">
        <v>689</v>
      </c>
      <c r="S52" s="3" t="s">
        <v>704</v>
      </c>
    </row>
    <row r="53" spans="1:19" s="3" customFormat="1" ht="30" customHeight="1" x14ac:dyDescent="0.3">
      <c r="A53" s="4" t="s">
        <v>393</v>
      </c>
      <c r="B53" s="5" t="s">
        <v>41</v>
      </c>
      <c r="C53" s="5">
        <v>37</v>
      </c>
      <c r="D53" s="5">
        <v>42</v>
      </c>
      <c r="E53" s="5">
        <v>5</v>
      </c>
      <c r="F53" s="5">
        <v>0</v>
      </c>
      <c r="G53" s="6">
        <v>280</v>
      </c>
      <c r="H53" s="6">
        <v>280</v>
      </c>
      <c r="I53" s="7">
        <v>46000</v>
      </c>
      <c r="J53" s="5"/>
      <c r="O53" s="3" t="s">
        <v>688</v>
      </c>
      <c r="P53" s="3">
        <v>0</v>
      </c>
      <c r="Q53" s="3" t="s">
        <v>689</v>
      </c>
      <c r="R53" s="10" t="s">
        <v>689</v>
      </c>
      <c r="S53" s="3" t="s">
        <v>704</v>
      </c>
    </row>
    <row r="54" spans="1:19" s="3" customFormat="1" ht="30" customHeight="1" x14ac:dyDescent="0.3">
      <c r="A54" s="4" t="s">
        <v>394</v>
      </c>
      <c r="B54" s="5" t="s">
        <v>208</v>
      </c>
      <c r="C54" s="5">
        <v>39</v>
      </c>
      <c r="D54" s="5">
        <v>40</v>
      </c>
      <c r="E54" s="5">
        <v>1</v>
      </c>
      <c r="F54" s="5">
        <v>11</v>
      </c>
      <c r="G54" s="6">
        <v>410.16335507650001</v>
      </c>
      <c r="H54" s="6">
        <v>448</v>
      </c>
      <c r="I54" s="7">
        <v>46129</v>
      </c>
      <c r="J54" s="5"/>
      <c r="L54" s="3">
        <v>3.5</v>
      </c>
      <c r="M54" s="3">
        <v>33</v>
      </c>
      <c r="O54" s="3" t="s">
        <v>688</v>
      </c>
      <c r="P54" s="3">
        <v>11</v>
      </c>
      <c r="Q54" s="3">
        <v>0</v>
      </c>
      <c r="R54" s="10" t="s">
        <v>692</v>
      </c>
      <c r="S54" s="3" t="s">
        <v>684</v>
      </c>
    </row>
    <row r="55" spans="1:19" s="3" customFormat="1" ht="30" customHeight="1" x14ac:dyDescent="0.3">
      <c r="A55" s="4" t="s">
        <v>395</v>
      </c>
      <c r="B55" s="5" t="s">
        <v>303</v>
      </c>
      <c r="C55" s="5">
        <v>10</v>
      </c>
      <c r="D55" s="5">
        <v>12</v>
      </c>
      <c r="E55" s="5">
        <v>2</v>
      </c>
      <c r="F55" s="5">
        <v>1</v>
      </c>
      <c r="G55" s="6">
        <v>148.8285112762</v>
      </c>
      <c r="H55" s="6">
        <v>500</v>
      </c>
      <c r="I55" s="7">
        <v>46136</v>
      </c>
      <c r="J55" s="5"/>
      <c r="L55" s="3">
        <v>10</v>
      </c>
      <c r="M55" s="3">
        <v>3</v>
      </c>
      <c r="O55" s="3" t="s">
        <v>688</v>
      </c>
      <c r="P55" s="3">
        <v>1</v>
      </c>
      <c r="Q55" s="3">
        <v>0</v>
      </c>
      <c r="R55" s="10" t="s">
        <v>692</v>
      </c>
      <c r="S55" s="3" t="s">
        <v>684</v>
      </c>
    </row>
    <row r="56" spans="1:19" s="3" customFormat="1" ht="30" customHeight="1" x14ac:dyDescent="0.3">
      <c r="A56" s="4" t="s">
        <v>396</v>
      </c>
      <c r="B56" s="5" t="s">
        <v>128</v>
      </c>
      <c r="C56" s="5">
        <v>0</v>
      </c>
      <c r="D56" s="5">
        <v>2</v>
      </c>
      <c r="E56" s="5">
        <v>2</v>
      </c>
      <c r="F56" s="5">
        <v>0</v>
      </c>
      <c r="G56" s="6">
        <v>325.77156659579998</v>
      </c>
      <c r="H56" s="6">
        <v>552</v>
      </c>
      <c r="I56" s="7">
        <v>44690</v>
      </c>
      <c r="J56" s="5"/>
      <c r="O56" s="3" t="s">
        <v>688</v>
      </c>
      <c r="P56" s="3">
        <v>0</v>
      </c>
      <c r="Q56" s="3" t="s">
        <v>689</v>
      </c>
      <c r="R56" s="10" t="s">
        <v>689</v>
      </c>
      <c r="S56" s="3" t="s">
        <v>703</v>
      </c>
    </row>
    <row r="57" spans="1:19" s="3" customFormat="1" ht="30" customHeight="1" x14ac:dyDescent="0.3">
      <c r="A57" s="4" t="s">
        <v>397</v>
      </c>
      <c r="B57" s="5" t="s">
        <v>25</v>
      </c>
      <c r="C57" s="5">
        <v>12</v>
      </c>
      <c r="D57" s="5">
        <v>12</v>
      </c>
      <c r="E57" s="5">
        <v>0</v>
      </c>
      <c r="F57" s="5">
        <v>0</v>
      </c>
      <c r="G57" s="6">
        <v>337.1666666667</v>
      </c>
      <c r="H57" s="6">
        <v>318</v>
      </c>
      <c r="I57" s="7">
        <v>46113</v>
      </c>
      <c r="J57" s="5"/>
      <c r="O57" s="3" t="s">
        <v>688</v>
      </c>
      <c r="P57" s="3">
        <v>0</v>
      </c>
      <c r="Q57" s="3" t="s">
        <v>689</v>
      </c>
      <c r="R57" s="10" t="s">
        <v>689</v>
      </c>
      <c r="S57" s="3" t="s">
        <v>704</v>
      </c>
    </row>
    <row r="58" spans="1:19" s="3" customFormat="1" ht="30" customHeight="1" x14ac:dyDescent="0.3">
      <c r="A58" s="4" t="s">
        <v>398</v>
      </c>
      <c r="B58" s="5" t="s">
        <v>120</v>
      </c>
      <c r="C58" s="5">
        <v>1</v>
      </c>
      <c r="D58" s="5">
        <v>3</v>
      </c>
      <c r="E58" s="5">
        <v>2</v>
      </c>
      <c r="F58" s="5">
        <v>0</v>
      </c>
      <c r="G58" s="6">
        <v>475</v>
      </c>
      <c r="H58" s="6">
        <v>524</v>
      </c>
      <c r="I58" s="7">
        <v>45902</v>
      </c>
      <c r="J58" s="5"/>
      <c r="O58" s="3" t="s">
        <v>688</v>
      </c>
      <c r="P58" s="3">
        <v>0</v>
      </c>
      <c r="Q58" s="3" t="s">
        <v>689</v>
      </c>
      <c r="R58" s="10" t="s">
        <v>689</v>
      </c>
      <c r="S58" s="3" t="s">
        <v>704</v>
      </c>
    </row>
    <row r="59" spans="1:19" s="3" customFormat="1" ht="30" customHeight="1" x14ac:dyDescent="0.3">
      <c r="A59" s="4" t="s">
        <v>399</v>
      </c>
      <c r="B59" s="5" t="s">
        <v>106</v>
      </c>
      <c r="C59" s="5">
        <v>0</v>
      </c>
      <c r="D59" s="5">
        <v>3</v>
      </c>
      <c r="E59" s="5">
        <v>3</v>
      </c>
      <c r="F59" s="5">
        <v>0</v>
      </c>
      <c r="G59" s="6">
        <v>437.4320987648</v>
      </c>
      <c r="H59" s="6">
        <v>475</v>
      </c>
      <c r="I59" s="7">
        <v>45884</v>
      </c>
      <c r="J59" s="5"/>
      <c r="O59" s="3" t="s">
        <v>688</v>
      </c>
      <c r="P59" s="3">
        <v>0</v>
      </c>
      <c r="Q59" s="3" t="s">
        <v>689</v>
      </c>
      <c r="R59" s="10" t="s">
        <v>689</v>
      </c>
      <c r="S59" s="3" t="s">
        <v>703</v>
      </c>
    </row>
    <row r="60" spans="1:19" s="3" customFormat="1" ht="30" customHeight="1" x14ac:dyDescent="0.3">
      <c r="A60" s="4" t="s">
        <v>400</v>
      </c>
      <c r="B60" s="5" t="s">
        <v>23</v>
      </c>
      <c r="C60" s="5">
        <v>8</v>
      </c>
      <c r="D60" s="5">
        <v>10</v>
      </c>
      <c r="E60" s="5">
        <v>2</v>
      </c>
      <c r="F60" s="5">
        <v>0</v>
      </c>
      <c r="G60" s="6">
        <v>405</v>
      </c>
      <c r="H60" s="6">
        <v>405</v>
      </c>
      <c r="I60" s="7">
        <v>46113</v>
      </c>
      <c r="J60" s="5"/>
      <c r="O60" s="3" t="s">
        <v>688</v>
      </c>
      <c r="P60" s="3">
        <v>0</v>
      </c>
      <c r="Q60" s="3" t="s">
        <v>689</v>
      </c>
      <c r="R60" s="10" t="s">
        <v>689</v>
      </c>
      <c r="S60" s="3" t="s">
        <v>704</v>
      </c>
    </row>
    <row r="61" spans="1:19" s="3" customFormat="1" ht="30" customHeight="1" x14ac:dyDescent="0.3">
      <c r="A61" s="4" t="s">
        <v>401</v>
      </c>
      <c r="B61" s="5" t="s">
        <v>170</v>
      </c>
      <c r="C61" s="5">
        <v>0</v>
      </c>
      <c r="D61" s="5">
        <v>5</v>
      </c>
      <c r="E61" s="5">
        <v>5</v>
      </c>
      <c r="F61" s="5">
        <v>1</v>
      </c>
      <c r="G61" s="6">
        <v>524</v>
      </c>
      <c r="H61" s="6">
        <v>514</v>
      </c>
      <c r="I61" s="7">
        <v>46000</v>
      </c>
      <c r="J61" s="5"/>
      <c r="L61" s="3">
        <v>0</v>
      </c>
      <c r="M61" s="3">
        <v>3</v>
      </c>
      <c r="O61" s="3" t="s">
        <v>688</v>
      </c>
      <c r="P61" s="3">
        <v>1</v>
      </c>
      <c r="Q61" s="3">
        <v>4</v>
      </c>
      <c r="R61" s="10" t="s">
        <v>692</v>
      </c>
      <c r="S61" s="3" t="s">
        <v>687</v>
      </c>
    </row>
    <row r="62" spans="1:19" s="3" customFormat="1" ht="30" customHeight="1" x14ac:dyDescent="0.3">
      <c r="A62" s="4" t="s">
        <v>402</v>
      </c>
      <c r="B62" s="5" t="s">
        <v>341</v>
      </c>
      <c r="C62" s="5">
        <v>107</v>
      </c>
      <c r="D62" s="5">
        <v>115</v>
      </c>
      <c r="E62" s="5">
        <v>8</v>
      </c>
      <c r="F62" s="5">
        <v>2</v>
      </c>
      <c r="G62" s="6">
        <v>3.7391304347999998</v>
      </c>
      <c r="H62" s="6">
        <v>430</v>
      </c>
      <c r="I62" s="7">
        <v>46105</v>
      </c>
      <c r="J62" s="5"/>
      <c r="L62" s="3">
        <v>53.5</v>
      </c>
      <c r="M62" s="3">
        <v>6</v>
      </c>
      <c r="O62" s="3" t="s">
        <v>688</v>
      </c>
      <c r="P62" s="3">
        <v>2</v>
      </c>
      <c r="Q62" s="3">
        <v>0</v>
      </c>
      <c r="R62" s="10" t="s">
        <v>692</v>
      </c>
      <c r="S62" s="3" t="s">
        <v>684</v>
      </c>
    </row>
    <row r="63" spans="1:19" s="3" customFormat="1" ht="30" customHeight="1" x14ac:dyDescent="0.3">
      <c r="A63" s="4" t="s">
        <v>403</v>
      </c>
      <c r="B63" s="5" t="s">
        <v>142</v>
      </c>
      <c r="C63" s="5">
        <v>6</v>
      </c>
      <c r="D63" s="5">
        <v>10</v>
      </c>
      <c r="E63" s="5">
        <v>4</v>
      </c>
      <c r="F63" s="5">
        <v>0</v>
      </c>
      <c r="G63" s="6">
        <v>169.35299999989999</v>
      </c>
      <c r="H63" s="6">
        <v>150.85</v>
      </c>
      <c r="I63" s="7">
        <v>45716</v>
      </c>
      <c r="J63" s="5"/>
      <c r="O63" s="3" t="s">
        <v>688</v>
      </c>
      <c r="P63" s="3">
        <v>0</v>
      </c>
      <c r="Q63" s="3" t="s">
        <v>689</v>
      </c>
      <c r="R63" s="10" t="s">
        <v>689</v>
      </c>
      <c r="S63" s="3" t="s">
        <v>704</v>
      </c>
    </row>
    <row r="64" spans="1:19" s="3" customFormat="1" ht="30" customHeight="1" x14ac:dyDescent="0.3">
      <c r="A64" s="4" t="s">
        <v>404</v>
      </c>
      <c r="B64" s="5" t="s">
        <v>336</v>
      </c>
      <c r="C64" s="5">
        <v>63</v>
      </c>
      <c r="D64" s="5">
        <v>68</v>
      </c>
      <c r="E64" s="5">
        <v>5</v>
      </c>
      <c r="F64" s="5">
        <v>2</v>
      </c>
      <c r="G64" s="6">
        <v>246.64601032760001</v>
      </c>
      <c r="H64" s="6">
        <v>205.39</v>
      </c>
      <c r="I64" s="7">
        <v>46120</v>
      </c>
      <c r="J64" s="5"/>
      <c r="L64" s="3">
        <v>31.5</v>
      </c>
      <c r="M64" s="3">
        <v>6</v>
      </c>
      <c r="O64" s="3" t="s">
        <v>688</v>
      </c>
      <c r="P64" s="3">
        <v>2</v>
      </c>
      <c r="Q64" s="3">
        <v>0</v>
      </c>
      <c r="R64" s="10" t="s">
        <v>692</v>
      </c>
      <c r="S64" s="3" t="s">
        <v>684</v>
      </c>
    </row>
    <row r="65" spans="1:19" s="3" customFormat="1" ht="30" customHeight="1" x14ac:dyDescent="0.3">
      <c r="A65" s="4" t="s">
        <v>405</v>
      </c>
      <c r="B65" s="5" t="s">
        <v>9</v>
      </c>
      <c r="C65" s="5">
        <v>0</v>
      </c>
      <c r="D65" s="5">
        <v>5</v>
      </c>
      <c r="E65" s="5">
        <v>5</v>
      </c>
      <c r="F65" s="5">
        <v>0</v>
      </c>
      <c r="G65" s="6">
        <v>200</v>
      </c>
      <c r="H65" s="6">
        <v>200</v>
      </c>
      <c r="I65" s="7">
        <v>46105</v>
      </c>
      <c r="J65" s="5"/>
      <c r="O65" s="3" t="s">
        <v>688</v>
      </c>
      <c r="P65" s="3">
        <v>0</v>
      </c>
      <c r="Q65" s="3" t="s">
        <v>689</v>
      </c>
      <c r="R65" s="10" t="s">
        <v>689</v>
      </c>
      <c r="S65" s="3" t="s">
        <v>703</v>
      </c>
    </row>
    <row r="66" spans="1:19" s="3" customFormat="1" ht="30" customHeight="1" x14ac:dyDescent="0.3">
      <c r="A66" s="4" t="s">
        <v>406</v>
      </c>
      <c r="B66" s="5" t="s">
        <v>24</v>
      </c>
      <c r="C66" s="5">
        <v>0</v>
      </c>
      <c r="D66" s="5">
        <v>0</v>
      </c>
      <c r="E66" s="5">
        <v>0</v>
      </c>
      <c r="F66" s="5">
        <v>1</v>
      </c>
      <c r="G66" s="6">
        <v>194.75</v>
      </c>
      <c r="H66" s="6">
        <v>190</v>
      </c>
      <c r="I66" s="7">
        <v>46097</v>
      </c>
      <c r="J66" s="5"/>
      <c r="L66" s="3">
        <v>0</v>
      </c>
      <c r="M66" s="3">
        <v>3</v>
      </c>
      <c r="O66" s="3" t="s">
        <v>688</v>
      </c>
      <c r="P66" s="3">
        <v>1</v>
      </c>
      <c r="Q66" s="3">
        <v>4</v>
      </c>
      <c r="R66" s="10" t="s">
        <v>692</v>
      </c>
      <c r="S66" s="3" t="s">
        <v>687</v>
      </c>
    </row>
    <row r="67" spans="1:19" s="3" customFormat="1" ht="30" customHeight="1" x14ac:dyDescent="0.3">
      <c r="A67" s="4" t="s">
        <v>407</v>
      </c>
      <c r="B67" s="5" t="s">
        <v>196</v>
      </c>
      <c r="C67" s="5">
        <v>7</v>
      </c>
      <c r="D67" s="5">
        <v>11</v>
      </c>
      <c r="E67" s="5">
        <v>4</v>
      </c>
      <c r="F67" s="5">
        <v>2</v>
      </c>
      <c r="G67" s="6">
        <v>196.30172747899999</v>
      </c>
      <c r="H67" s="6">
        <v>200</v>
      </c>
      <c r="I67" s="7">
        <v>46141</v>
      </c>
      <c r="J67" s="5"/>
      <c r="L67" s="3">
        <v>3.5</v>
      </c>
      <c r="M67" s="3">
        <v>6</v>
      </c>
      <c r="O67" s="3" t="s">
        <v>688</v>
      </c>
      <c r="P67" s="3">
        <v>2</v>
      </c>
      <c r="Q67" s="3">
        <v>0</v>
      </c>
      <c r="R67" s="10" t="s">
        <v>692</v>
      </c>
      <c r="S67" s="3" t="s">
        <v>684</v>
      </c>
    </row>
    <row r="68" spans="1:19" s="3" customFormat="1" ht="30" customHeight="1" x14ac:dyDescent="0.3">
      <c r="A68" s="4" t="s">
        <v>408</v>
      </c>
      <c r="B68" s="5" t="s">
        <v>83</v>
      </c>
      <c r="C68" s="5">
        <v>0</v>
      </c>
      <c r="D68" s="5">
        <v>0</v>
      </c>
      <c r="E68" s="5">
        <v>0</v>
      </c>
      <c r="F68" s="5">
        <v>0</v>
      </c>
      <c r="G68" s="6">
        <v>210</v>
      </c>
      <c r="H68" s="6">
        <v>200</v>
      </c>
      <c r="I68" s="7">
        <v>45803</v>
      </c>
      <c r="J68" s="5"/>
      <c r="O68" s="3" t="s">
        <v>688</v>
      </c>
      <c r="P68" s="3">
        <v>0</v>
      </c>
      <c r="Q68" s="3" t="s">
        <v>689</v>
      </c>
      <c r="R68" s="10" t="s">
        <v>689</v>
      </c>
      <c r="S68" s="3" t="s">
        <v>703</v>
      </c>
    </row>
    <row r="69" spans="1:19" s="3" customFormat="1" ht="30" customHeight="1" x14ac:dyDescent="0.3">
      <c r="A69" s="4" t="s">
        <v>409</v>
      </c>
      <c r="B69" s="5" t="s">
        <v>96</v>
      </c>
      <c r="C69" s="5">
        <v>0</v>
      </c>
      <c r="D69" s="5">
        <v>0</v>
      </c>
      <c r="E69" s="5">
        <v>0</v>
      </c>
      <c r="F69" s="5">
        <v>0</v>
      </c>
      <c r="G69" s="6">
        <v>200</v>
      </c>
      <c r="H69" s="6">
        <v>200</v>
      </c>
      <c r="I69" s="7">
        <v>46031</v>
      </c>
      <c r="J69" s="5"/>
      <c r="O69" s="3" t="s">
        <v>688</v>
      </c>
      <c r="P69" s="3">
        <v>0</v>
      </c>
      <c r="Q69" s="3" t="s">
        <v>689</v>
      </c>
      <c r="R69" s="10" t="s">
        <v>689</v>
      </c>
      <c r="S69" s="3" t="s">
        <v>703</v>
      </c>
    </row>
    <row r="70" spans="1:19" s="3" customFormat="1" ht="30" customHeight="1" x14ac:dyDescent="0.3">
      <c r="A70" s="4" t="s">
        <v>410</v>
      </c>
      <c r="B70" s="5" t="s">
        <v>20</v>
      </c>
      <c r="C70" s="5">
        <v>0</v>
      </c>
      <c r="D70" s="5">
        <v>4</v>
      </c>
      <c r="E70" s="5">
        <v>4</v>
      </c>
      <c r="F70" s="5">
        <v>0</v>
      </c>
      <c r="G70" s="6">
        <v>200</v>
      </c>
      <c r="H70" s="6">
        <v>200</v>
      </c>
      <c r="I70" s="7">
        <v>45992</v>
      </c>
      <c r="J70" s="5"/>
      <c r="O70" s="3" t="s">
        <v>688</v>
      </c>
      <c r="P70" s="3">
        <v>0</v>
      </c>
      <c r="Q70" s="3" t="s">
        <v>689</v>
      </c>
      <c r="R70" s="10" t="s">
        <v>689</v>
      </c>
      <c r="S70" s="3" t="s">
        <v>703</v>
      </c>
    </row>
    <row r="71" spans="1:19" s="3" customFormat="1" ht="30" customHeight="1" x14ac:dyDescent="0.3">
      <c r="A71" s="4" t="s">
        <v>411</v>
      </c>
      <c r="B71" s="5" t="s">
        <v>33</v>
      </c>
      <c r="C71" s="5">
        <v>0</v>
      </c>
      <c r="D71" s="5">
        <v>2</v>
      </c>
      <c r="E71" s="5">
        <v>2</v>
      </c>
      <c r="F71" s="5">
        <v>0</v>
      </c>
      <c r="G71" s="6">
        <v>200</v>
      </c>
      <c r="H71" s="6">
        <v>200</v>
      </c>
      <c r="I71" s="7">
        <v>45992</v>
      </c>
      <c r="J71" s="5"/>
      <c r="O71" s="3" t="s">
        <v>688</v>
      </c>
      <c r="P71" s="3">
        <v>0</v>
      </c>
      <c r="Q71" s="3" t="s">
        <v>689</v>
      </c>
      <c r="R71" s="10" t="s">
        <v>689</v>
      </c>
      <c r="S71" s="3" t="s">
        <v>703</v>
      </c>
    </row>
    <row r="72" spans="1:19" s="3" customFormat="1" ht="30" customHeight="1" x14ac:dyDescent="0.3">
      <c r="A72" s="4" t="s">
        <v>412</v>
      </c>
      <c r="B72" s="5" t="s">
        <v>92</v>
      </c>
      <c r="C72" s="5">
        <v>0</v>
      </c>
      <c r="D72" s="5">
        <v>4</v>
      </c>
      <c r="E72" s="5">
        <v>4</v>
      </c>
      <c r="F72" s="5">
        <v>0</v>
      </c>
      <c r="G72" s="6">
        <v>200</v>
      </c>
      <c r="H72" s="6">
        <v>200</v>
      </c>
      <c r="I72" s="7">
        <v>45992</v>
      </c>
      <c r="J72" s="5"/>
      <c r="O72" s="3" t="s">
        <v>688</v>
      </c>
      <c r="P72" s="3">
        <v>0</v>
      </c>
      <c r="Q72" s="3" t="s">
        <v>689</v>
      </c>
      <c r="R72" s="10" t="s">
        <v>689</v>
      </c>
      <c r="S72" s="3" t="s">
        <v>703</v>
      </c>
    </row>
    <row r="73" spans="1:19" s="3" customFormat="1" ht="30" customHeight="1" x14ac:dyDescent="0.3">
      <c r="A73" s="4" t="s">
        <v>413</v>
      </c>
      <c r="B73" s="5" t="s">
        <v>89</v>
      </c>
      <c r="C73" s="5">
        <v>0</v>
      </c>
      <c r="D73" s="5">
        <v>3</v>
      </c>
      <c r="E73" s="5">
        <v>3</v>
      </c>
      <c r="F73" s="5">
        <v>0</v>
      </c>
      <c r="G73" s="6">
        <v>200</v>
      </c>
      <c r="H73" s="6">
        <v>200</v>
      </c>
      <c r="I73" s="7">
        <v>45992</v>
      </c>
      <c r="J73" s="5"/>
      <c r="O73" s="3" t="s">
        <v>688</v>
      </c>
      <c r="P73" s="3">
        <v>0</v>
      </c>
      <c r="Q73" s="3" t="s">
        <v>689</v>
      </c>
      <c r="R73" s="10" t="s">
        <v>689</v>
      </c>
      <c r="S73" s="3" t="s">
        <v>703</v>
      </c>
    </row>
    <row r="74" spans="1:19" s="3" customFormat="1" ht="30" customHeight="1" x14ac:dyDescent="0.3">
      <c r="A74" s="4" t="s">
        <v>414</v>
      </c>
      <c r="B74" s="5" t="s">
        <v>151</v>
      </c>
      <c r="C74" s="5">
        <v>0</v>
      </c>
      <c r="D74" s="5">
        <v>1</v>
      </c>
      <c r="E74" s="5">
        <v>1</v>
      </c>
      <c r="F74" s="5">
        <v>1</v>
      </c>
      <c r="G74" s="6">
        <v>430</v>
      </c>
      <c r="H74" s="6">
        <v>425</v>
      </c>
      <c r="I74" s="7">
        <v>46139</v>
      </c>
      <c r="J74" s="5"/>
      <c r="L74" s="3">
        <v>0</v>
      </c>
      <c r="M74" s="3">
        <v>3</v>
      </c>
      <c r="O74" s="3" t="s">
        <v>688</v>
      </c>
      <c r="P74" s="3">
        <v>1</v>
      </c>
      <c r="Q74" s="3">
        <v>4</v>
      </c>
      <c r="R74" s="10" t="s">
        <v>692</v>
      </c>
      <c r="S74" s="3" t="s">
        <v>687</v>
      </c>
    </row>
    <row r="75" spans="1:19" s="3" customFormat="1" ht="30" customHeight="1" x14ac:dyDescent="0.3">
      <c r="A75" s="4" t="s">
        <v>415</v>
      </c>
      <c r="B75" s="5" t="s">
        <v>34</v>
      </c>
      <c r="C75" s="5">
        <v>0</v>
      </c>
      <c r="D75" s="5">
        <v>1</v>
      </c>
      <c r="E75" s="5">
        <v>1</v>
      </c>
      <c r="F75" s="5">
        <v>0</v>
      </c>
      <c r="G75" s="6">
        <v>440</v>
      </c>
      <c r="H75" s="6">
        <v>440</v>
      </c>
      <c r="I75" s="7">
        <v>45854</v>
      </c>
      <c r="J75" s="5"/>
      <c r="O75" s="3" t="s">
        <v>688</v>
      </c>
      <c r="P75" s="3">
        <v>0</v>
      </c>
      <c r="Q75" s="3" t="s">
        <v>689</v>
      </c>
      <c r="R75" s="10" t="s">
        <v>689</v>
      </c>
      <c r="S75" s="3" t="s">
        <v>703</v>
      </c>
    </row>
    <row r="76" spans="1:19" s="3" customFormat="1" ht="30" customHeight="1" x14ac:dyDescent="0.3">
      <c r="A76" s="4" t="s">
        <v>416</v>
      </c>
      <c r="B76" s="5" t="s">
        <v>48</v>
      </c>
      <c r="C76" s="5">
        <v>0</v>
      </c>
      <c r="D76" s="5">
        <v>1</v>
      </c>
      <c r="E76" s="5">
        <v>1</v>
      </c>
      <c r="F76" s="5">
        <v>0</v>
      </c>
      <c r="G76" s="6">
        <v>360</v>
      </c>
      <c r="H76" s="6">
        <v>360</v>
      </c>
      <c r="I76" s="7">
        <v>45982</v>
      </c>
      <c r="J76" s="5"/>
      <c r="O76" s="3" t="s">
        <v>688</v>
      </c>
      <c r="P76" s="3">
        <v>0</v>
      </c>
      <c r="Q76" s="3" t="s">
        <v>689</v>
      </c>
      <c r="R76" s="10" t="s">
        <v>689</v>
      </c>
      <c r="S76" s="3" t="s">
        <v>703</v>
      </c>
    </row>
    <row r="77" spans="1:19" s="3" customFormat="1" ht="30" customHeight="1" x14ac:dyDescent="0.3">
      <c r="A77" s="4" t="s">
        <v>417</v>
      </c>
      <c r="B77" s="5" t="s">
        <v>153</v>
      </c>
      <c r="C77" s="5">
        <v>0</v>
      </c>
      <c r="D77" s="5">
        <v>1</v>
      </c>
      <c r="E77" s="5">
        <v>1</v>
      </c>
      <c r="F77" s="5">
        <v>1</v>
      </c>
      <c r="G77" s="6">
        <v>430</v>
      </c>
      <c r="H77" s="6">
        <v>360</v>
      </c>
      <c r="I77" s="7">
        <v>46125</v>
      </c>
      <c r="J77" s="5"/>
      <c r="L77" s="3">
        <v>0</v>
      </c>
      <c r="M77" s="3">
        <v>3</v>
      </c>
      <c r="O77" s="3" t="s">
        <v>688</v>
      </c>
      <c r="P77" s="3">
        <v>1</v>
      </c>
      <c r="Q77" s="3">
        <v>4</v>
      </c>
      <c r="R77" s="10" t="s">
        <v>692</v>
      </c>
      <c r="S77" s="3" t="s">
        <v>687</v>
      </c>
    </row>
    <row r="78" spans="1:19" s="3" customFormat="1" ht="30" customHeight="1" x14ac:dyDescent="0.3">
      <c r="A78" s="4" t="s">
        <v>418</v>
      </c>
      <c r="B78" s="5" t="s">
        <v>143</v>
      </c>
      <c r="C78" s="5">
        <v>0</v>
      </c>
      <c r="D78" s="5">
        <v>0</v>
      </c>
      <c r="E78" s="5">
        <v>0</v>
      </c>
      <c r="F78" s="5">
        <v>0</v>
      </c>
      <c r="G78" s="6">
        <v>360</v>
      </c>
      <c r="H78" s="6">
        <v>360</v>
      </c>
      <c r="I78" s="7">
        <v>45950</v>
      </c>
      <c r="J78" s="5"/>
      <c r="O78" s="3" t="s">
        <v>688</v>
      </c>
      <c r="P78" s="3">
        <v>0</v>
      </c>
      <c r="Q78" s="3" t="s">
        <v>689</v>
      </c>
      <c r="R78" s="10" t="s">
        <v>689</v>
      </c>
      <c r="S78" s="3" t="s">
        <v>703</v>
      </c>
    </row>
    <row r="79" spans="1:19" s="3" customFormat="1" ht="30" customHeight="1" x14ac:dyDescent="0.3">
      <c r="A79" s="4" t="s">
        <v>419</v>
      </c>
      <c r="B79" s="5" t="s">
        <v>32</v>
      </c>
      <c r="C79" s="5">
        <v>2</v>
      </c>
      <c r="D79" s="5">
        <v>2</v>
      </c>
      <c r="E79" s="5">
        <v>0</v>
      </c>
      <c r="F79" s="5">
        <v>0</v>
      </c>
      <c r="G79" s="6">
        <v>425</v>
      </c>
      <c r="H79" s="6">
        <v>425</v>
      </c>
      <c r="I79" s="7">
        <v>46135</v>
      </c>
      <c r="J79" s="5"/>
      <c r="O79" s="3" t="s">
        <v>688</v>
      </c>
      <c r="P79" s="3">
        <v>0</v>
      </c>
      <c r="Q79" s="3" t="s">
        <v>689</v>
      </c>
      <c r="R79" s="10" t="s">
        <v>689</v>
      </c>
      <c r="S79" s="3" t="s">
        <v>704</v>
      </c>
    </row>
    <row r="80" spans="1:19" s="3" customFormat="1" ht="30" customHeight="1" x14ac:dyDescent="0.3">
      <c r="A80" s="4" t="s">
        <v>420</v>
      </c>
      <c r="B80" s="5" t="s">
        <v>154</v>
      </c>
      <c r="C80" s="5">
        <v>2</v>
      </c>
      <c r="D80" s="5">
        <v>3</v>
      </c>
      <c r="E80" s="5">
        <v>1</v>
      </c>
      <c r="F80" s="5">
        <v>2</v>
      </c>
      <c r="G80" s="6">
        <v>748.98200541100005</v>
      </c>
      <c r="H80" s="6">
        <v>890</v>
      </c>
      <c r="I80" s="7">
        <v>46141</v>
      </c>
      <c r="J80" s="5"/>
      <c r="L80" s="3">
        <v>1</v>
      </c>
      <c r="M80" s="3">
        <v>6</v>
      </c>
      <c r="O80" s="3" t="s">
        <v>688</v>
      </c>
      <c r="P80" s="3">
        <v>2</v>
      </c>
      <c r="Q80" s="3">
        <v>6</v>
      </c>
      <c r="R80" s="10" t="s">
        <v>692</v>
      </c>
      <c r="S80" s="3" t="s">
        <v>686</v>
      </c>
    </row>
    <row r="81" spans="1:19" s="3" customFormat="1" ht="30" customHeight="1" x14ac:dyDescent="0.3">
      <c r="A81" s="4" t="s">
        <v>421</v>
      </c>
      <c r="B81" s="5" t="s">
        <v>124</v>
      </c>
      <c r="C81" s="5">
        <v>0</v>
      </c>
      <c r="D81" s="5">
        <v>0</v>
      </c>
      <c r="E81" s="5">
        <v>0</v>
      </c>
      <c r="F81" s="5">
        <v>0</v>
      </c>
      <c r="G81" s="6">
        <v>2095.9250000000002</v>
      </c>
      <c r="H81" s="6">
        <v>360</v>
      </c>
      <c r="I81" s="7">
        <v>46134</v>
      </c>
      <c r="J81" s="5"/>
      <c r="O81" s="3" t="s">
        <v>688</v>
      </c>
      <c r="P81" s="3">
        <v>0</v>
      </c>
      <c r="Q81" s="3" t="s">
        <v>689</v>
      </c>
      <c r="R81" s="10" t="s">
        <v>689</v>
      </c>
      <c r="S81" s="3" t="s">
        <v>703</v>
      </c>
    </row>
    <row r="82" spans="1:19" s="3" customFormat="1" ht="30" customHeight="1" x14ac:dyDescent="0.3">
      <c r="A82" s="4" t="s">
        <v>422</v>
      </c>
      <c r="B82" s="5" t="s">
        <v>16</v>
      </c>
      <c r="C82" s="5">
        <v>0</v>
      </c>
      <c r="D82" s="5">
        <v>0</v>
      </c>
      <c r="E82" s="5">
        <v>0</v>
      </c>
      <c r="F82" s="5">
        <v>0</v>
      </c>
      <c r="G82" s="6">
        <v>440</v>
      </c>
      <c r="H82" s="6">
        <v>610</v>
      </c>
      <c r="I82" s="7">
        <v>45978</v>
      </c>
      <c r="J82" s="5"/>
      <c r="O82" s="3" t="s">
        <v>688</v>
      </c>
      <c r="P82" s="3">
        <v>0</v>
      </c>
      <c r="Q82" s="3" t="s">
        <v>689</v>
      </c>
      <c r="R82" s="10" t="s">
        <v>689</v>
      </c>
      <c r="S82" s="3" t="s">
        <v>703</v>
      </c>
    </row>
    <row r="83" spans="1:19" s="3" customFormat="1" ht="30" customHeight="1" x14ac:dyDescent="0.3">
      <c r="A83" s="4" t="s">
        <v>423</v>
      </c>
      <c r="B83" s="5" t="s">
        <v>239</v>
      </c>
      <c r="C83" s="5">
        <v>154</v>
      </c>
      <c r="D83" s="5">
        <v>171</v>
      </c>
      <c r="E83" s="5">
        <v>17</v>
      </c>
      <c r="F83" s="5">
        <v>26</v>
      </c>
      <c r="G83" s="6">
        <v>34.211164981700001</v>
      </c>
      <c r="H83" s="6">
        <v>28.82</v>
      </c>
      <c r="I83" s="7">
        <v>46073</v>
      </c>
      <c r="J83" s="5"/>
      <c r="L83" s="3">
        <v>5.9</v>
      </c>
      <c r="M83" s="3">
        <v>78</v>
      </c>
      <c r="O83" s="3" t="s">
        <v>688</v>
      </c>
      <c r="P83" s="3">
        <v>26</v>
      </c>
      <c r="Q83" s="3">
        <v>0</v>
      </c>
      <c r="R83" s="10" t="s">
        <v>692</v>
      </c>
      <c r="S83" s="3" t="s">
        <v>684</v>
      </c>
    </row>
    <row r="84" spans="1:19" s="3" customFormat="1" ht="30" customHeight="1" x14ac:dyDescent="0.3">
      <c r="A84" s="4" t="s">
        <v>424</v>
      </c>
      <c r="B84" s="5" t="s">
        <v>86</v>
      </c>
      <c r="C84" s="5">
        <v>30</v>
      </c>
      <c r="D84" s="5">
        <v>30</v>
      </c>
      <c r="E84" s="5">
        <v>0</v>
      </c>
      <c r="F84" s="5">
        <v>0</v>
      </c>
      <c r="G84" s="6">
        <v>28.13</v>
      </c>
      <c r="H84" s="6">
        <v>28.13</v>
      </c>
      <c r="I84" s="7">
        <v>45770</v>
      </c>
      <c r="J84" s="5"/>
      <c r="O84" s="3" t="s">
        <v>688</v>
      </c>
      <c r="P84" s="3">
        <v>0</v>
      </c>
      <c r="Q84" s="3" t="s">
        <v>689</v>
      </c>
      <c r="R84" s="10" t="s">
        <v>689</v>
      </c>
      <c r="S84" s="3" t="s">
        <v>704</v>
      </c>
    </row>
    <row r="85" spans="1:19" s="3" customFormat="1" ht="30" customHeight="1" x14ac:dyDescent="0.3">
      <c r="A85" s="4" t="s">
        <v>425</v>
      </c>
      <c r="B85" s="5" t="s">
        <v>319</v>
      </c>
      <c r="C85" s="5">
        <v>54</v>
      </c>
      <c r="D85" s="5">
        <v>71</v>
      </c>
      <c r="E85" s="5">
        <v>17</v>
      </c>
      <c r="F85" s="5">
        <v>3</v>
      </c>
      <c r="G85" s="6">
        <v>22.3774450927</v>
      </c>
      <c r="H85" s="6">
        <v>21.22</v>
      </c>
      <c r="I85" s="7">
        <v>46065</v>
      </c>
      <c r="J85" s="5"/>
      <c r="L85" s="3">
        <v>18</v>
      </c>
      <c r="M85" s="3">
        <v>9</v>
      </c>
      <c r="O85" s="3" t="s">
        <v>688</v>
      </c>
      <c r="P85" s="3">
        <v>3</v>
      </c>
      <c r="Q85" s="3">
        <v>0</v>
      </c>
      <c r="R85" s="10" t="s">
        <v>692</v>
      </c>
      <c r="S85" s="3" t="s">
        <v>684</v>
      </c>
    </row>
    <row r="86" spans="1:19" s="3" customFormat="1" ht="30" customHeight="1" x14ac:dyDescent="0.3">
      <c r="A86" s="4" t="s">
        <v>426</v>
      </c>
      <c r="B86" s="5" t="s">
        <v>18</v>
      </c>
      <c r="C86" s="5">
        <v>2</v>
      </c>
      <c r="D86" s="5">
        <v>12</v>
      </c>
      <c r="E86" s="5">
        <v>10</v>
      </c>
      <c r="F86" s="5">
        <v>0</v>
      </c>
      <c r="G86" s="6">
        <v>61.695530750800003</v>
      </c>
      <c r="H86" s="6">
        <v>64.349999999999994</v>
      </c>
      <c r="I86" s="7">
        <v>45617</v>
      </c>
      <c r="J86" s="5"/>
      <c r="O86" s="3" t="s">
        <v>688</v>
      </c>
      <c r="P86" s="3">
        <v>0</v>
      </c>
      <c r="Q86" s="3" t="s">
        <v>689</v>
      </c>
      <c r="R86" s="10" t="s">
        <v>689</v>
      </c>
      <c r="S86" s="3" t="s">
        <v>704</v>
      </c>
    </row>
    <row r="87" spans="1:19" s="3" customFormat="1" ht="30" customHeight="1" x14ac:dyDescent="0.3">
      <c r="A87" s="4" t="s">
        <v>427</v>
      </c>
      <c r="B87" s="5" t="s">
        <v>258</v>
      </c>
      <c r="C87" s="5">
        <v>18</v>
      </c>
      <c r="D87" s="5">
        <v>33</v>
      </c>
      <c r="E87" s="5">
        <v>15</v>
      </c>
      <c r="F87" s="5">
        <v>3</v>
      </c>
      <c r="G87" s="6">
        <v>29.313117034899999</v>
      </c>
      <c r="H87" s="6">
        <v>30</v>
      </c>
      <c r="I87" s="7">
        <v>46062</v>
      </c>
      <c r="J87" s="5"/>
      <c r="L87" s="3">
        <v>6</v>
      </c>
      <c r="M87" s="3">
        <v>9</v>
      </c>
      <c r="O87" s="3" t="s">
        <v>688</v>
      </c>
      <c r="P87" s="3">
        <v>3</v>
      </c>
      <c r="Q87" s="3">
        <v>0</v>
      </c>
      <c r="R87" s="10" t="s">
        <v>692</v>
      </c>
      <c r="S87" s="3" t="s">
        <v>684</v>
      </c>
    </row>
    <row r="88" spans="1:19" s="3" customFormat="1" ht="30" customHeight="1" x14ac:dyDescent="0.3">
      <c r="A88" s="4" t="s">
        <v>428</v>
      </c>
      <c r="B88" s="5" t="s">
        <v>73</v>
      </c>
      <c r="C88" s="5">
        <v>2</v>
      </c>
      <c r="D88" s="5">
        <v>2</v>
      </c>
      <c r="E88" s="5">
        <v>0</v>
      </c>
      <c r="F88" s="5">
        <v>0</v>
      </c>
      <c r="G88" s="6">
        <v>34.880000000800003</v>
      </c>
      <c r="H88" s="6">
        <v>34.880000000000003</v>
      </c>
      <c r="I88" s="7">
        <v>45350</v>
      </c>
      <c r="J88" s="5"/>
      <c r="O88" s="3" t="s">
        <v>688</v>
      </c>
      <c r="P88" s="3">
        <v>0</v>
      </c>
      <c r="Q88" s="3" t="s">
        <v>689</v>
      </c>
      <c r="R88" s="10" t="s">
        <v>689</v>
      </c>
      <c r="S88" s="3" t="s">
        <v>704</v>
      </c>
    </row>
    <row r="89" spans="1:19" s="3" customFormat="1" ht="30" customHeight="1" x14ac:dyDescent="0.3">
      <c r="A89" s="4" t="s">
        <v>429</v>
      </c>
      <c r="B89" s="5" t="s">
        <v>238</v>
      </c>
      <c r="C89" s="5">
        <v>62</v>
      </c>
      <c r="D89" s="5">
        <v>79</v>
      </c>
      <c r="E89" s="5">
        <v>17</v>
      </c>
      <c r="F89" s="5">
        <v>18</v>
      </c>
      <c r="G89" s="6">
        <v>31.0191088674</v>
      </c>
      <c r="H89" s="6">
        <v>29.27</v>
      </c>
      <c r="I89" s="7">
        <v>46065</v>
      </c>
      <c r="J89" s="5"/>
      <c r="L89" s="3">
        <v>3.4</v>
      </c>
      <c r="M89" s="3">
        <v>54</v>
      </c>
      <c r="O89" s="3" t="s">
        <v>688</v>
      </c>
      <c r="P89" s="3">
        <v>18</v>
      </c>
      <c r="Q89" s="3">
        <v>0</v>
      </c>
      <c r="R89" s="10" t="s">
        <v>692</v>
      </c>
      <c r="S89" s="3" t="s">
        <v>684</v>
      </c>
    </row>
    <row r="90" spans="1:19" s="3" customFormat="1" ht="30" customHeight="1" x14ac:dyDescent="0.3">
      <c r="A90" s="4" t="s">
        <v>430</v>
      </c>
      <c r="B90" s="5" t="s">
        <v>29</v>
      </c>
      <c r="C90" s="5">
        <v>0</v>
      </c>
      <c r="D90" s="5">
        <v>0</v>
      </c>
      <c r="E90" s="5">
        <v>0</v>
      </c>
      <c r="F90" s="5">
        <v>0</v>
      </c>
      <c r="G90" s="6">
        <v>39.61</v>
      </c>
      <c r="H90" s="6">
        <v>38</v>
      </c>
      <c r="I90" s="7">
        <v>44746</v>
      </c>
      <c r="J90" s="5"/>
      <c r="O90" s="3" t="s">
        <v>688</v>
      </c>
      <c r="P90" s="3">
        <v>0</v>
      </c>
      <c r="Q90" s="3" t="s">
        <v>689</v>
      </c>
      <c r="R90" s="10" t="s">
        <v>689</v>
      </c>
      <c r="S90" s="3" t="s">
        <v>703</v>
      </c>
    </row>
    <row r="91" spans="1:19" s="3" customFormat="1" ht="30" customHeight="1" x14ac:dyDescent="0.3">
      <c r="A91" s="4" t="s">
        <v>431</v>
      </c>
      <c r="B91" s="5" t="s">
        <v>270</v>
      </c>
      <c r="C91" s="5">
        <v>23</v>
      </c>
      <c r="D91" s="5">
        <v>30</v>
      </c>
      <c r="E91" s="5">
        <v>7</v>
      </c>
      <c r="F91" s="5">
        <v>3</v>
      </c>
      <c r="G91" s="6">
        <v>76.771626485499993</v>
      </c>
      <c r="H91" s="6">
        <v>76.790000000000006</v>
      </c>
      <c r="I91" s="7">
        <v>46105</v>
      </c>
      <c r="J91" s="5"/>
      <c r="L91" s="3">
        <v>7.7</v>
      </c>
      <c r="M91" s="3">
        <v>9</v>
      </c>
      <c r="O91" s="3" t="s">
        <v>688</v>
      </c>
      <c r="P91" s="3">
        <v>3</v>
      </c>
      <c r="Q91" s="3">
        <v>0</v>
      </c>
      <c r="R91" s="10" t="s">
        <v>692</v>
      </c>
      <c r="S91" s="3" t="s">
        <v>684</v>
      </c>
    </row>
    <row r="92" spans="1:19" s="3" customFormat="1" ht="30" customHeight="1" x14ac:dyDescent="0.3">
      <c r="A92" s="4" t="s">
        <v>432</v>
      </c>
      <c r="B92" s="5" t="s">
        <v>311</v>
      </c>
      <c r="C92" s="5">
        <v>11</v>
      </c>
      <c r="D92" s="5">
        <v>15</v>
      </c>
      <c r="E92" s="5">
        <v>4</v>
      </c>
      <c r="F92" s="5">
        <v>1</v>
      </c>
      <c r="G92" s="6">
        <v>77.926081404399994</v>
      </c>
      <c r="H92" s="6">
        <v>80</v>
      </c>
      <c r="I92" s="7">
        <v>45952</v>
      </c>
      <c r="J92" s="5"/>
      <c r="L92" s="3">
        <v>11</v>
      </c>
      <c r="M92" s="3">
        <v>3</v>
      </c>
      <c r="O92" s="3" t="s">
        <v>688</v>
      </c>
      <c r="P92" s="3">
        <v>1</v>
      </c>
      <c r="Q92" s="3">
        <v>0</v>
      </c>
      <c r="R92" s="10" t="s">
        <v>692</v>
      </c>
      <c r="S92" s="3" t="s">
        <v>684</v>
      </c>
    </row>
    <row r="93" spans="1:19" s="3" customFormat="1" ht="30" customHeight="1" x14ac:dyDescent="0.3">
      <c r="A93" s="4" t="s">
        <v>433</v>
      </c>
      <c r="B93" s="5" t="s">
        <v>69</v>
      </c>
      <c r="C93" s="5">
        <v>10</v>
      </c>
      <c r="D93" s="5">
        <v>10</v>
      </c>
      <c r="E93" s="5">
        <v>0</v>
      </c>
      <c r="F93" s="5">
        <v>0</v>
      </c>
      <c r="G93" s="6">
        <v>34.15</v>
      </c>
      <c r="H93" s="6">
        <v>34.15</v>
      </c>
      <c r="I93" s="7">
        <v>45820</v>
      </c>
      <c r="J93" s="5"/>
      <c r="O93" s="3" t="s">
        <v>688</v>
      </c>
      <c r="P93" s="3">
        <v>0</v>
      </c>
      <c r="Q93" s="3" t="s">
        <v>689</v>
      </c>
      <c r="R93" s="10" t="s">
        <v>689</v>
      </c>
      <c r="S93" s="3" t="s">
        <v>704</v>
      </c>
    </row>
    <row r="94" spans="1:19" s="3" customFormat="1" ht="30" customHeight="1" x14ac:dyDescent="0.3">
      <c r="A94" s="4" t="s">
        <v>434</v>
      </c>
      <c r="B94" s="5" t="s">
        <v>194</v>
      </c>
      <c r="C94" s="5">
        <v>105</v>
      </c>
      <c r="D94" s="5">
        <v>140</v>
      </c>
      <c r="E94" s="5">
        <v>35</v>
      </c>
      <c r="F94" s="5">
        <v>38</v>
      </c>
      <c r="G94" s="6">
        <v>41.847919028500002</v>
      </c>
      <c r="H94" s="6">
        <v>27.86</v>
      </c>
      <c r="I94" s="7">
        <v>45994</v>
      </c>
      <c r="J94" s="5"/>
      <c r="L94" s="3">
        <v>2.8</v>
      </c>
      <c r="M94" s="3">
        <v>114</v>
      </c>
      <c r="O94" s="3" t="s">
        <v>688</v>
      </c>
      <c r="P94" s="3">
        <v>38</v>
      </c>
      <c r="Q94" s="3">
        <v>46</v>
      </c>
      <c r="R94" s="10" t="s">
        <v>692</v>
      </c>
      <c r="S94" s="3" t="s">
        <v>686</v>
      </c>
    </row>
    <row r="95" spans="1:19" s="3" customFormat="1" ht="30" customHeight="1" x14ac:dyDescent="0.3">
      <c r="A95" s="4" t="s">
        <v>435</v>
      </c>
      <c r="B95" s="5" t="s">
        <v>171</v>
      </c>
      <c r="C95" s="5">
        <v>865</v>
      </c>
      <c r="D95" s="5">
        <v>952</v>
      </c>
      <c r="E95" s="5">
        <v>87</v>
      </c>
      <c r="F95" s="5">
        <v>388</v>
      </c>
      <c r="G95" s="6">
        <v>43.186550618600002</v>
      </c>
      <c r="H95" s="6">
        <v>27.88</v>
      </c>
      <c r="I95" s="7">
        <v>46072</v>
      </c>
      <c r="J95" s="5" t="s">
        <v>690</v>
      </c>
      <c r="K95" s="3">
        <v>30</v>
      </c>
      <c r="L95" s="3">
        <v>2.2000000000000002</v>
      </c>
      <c r="M95" s="3">
        <v>1164</v>
      </c>
      <c r="N95" s="3">
        <v>7.7319587628865982E-2</v>
      </c>
      <c r="O95" s="3" t="s">
        <v>688</v>
      </c>
      <c r="P95" s="3">
        <v>388</v>
      </c>
      <c r="Q95" s="3">
        <v>699</v>
      </c>
      <c r="R95" s="10" t="s">
        <v>692</v>
      </c>
      <c r="S95" s="3" t="s">
        <v>686</v>
      </c>
    </row>
    <row r="96" spans="1:19" s="3" customFormat="1" ht="30" customHeight="1" x14ac:dyDescent="0.3">
      <c r="A96" s="4" t="s">
        <v>436</v>
      </c>
      <c r="B96" s="5" t="s">
        <v>277</v>
      </c>
      <c r="C96" s="5">
        <v>310</v>
      </c>
      <c r="D96" s="5">
        <v>366</v>
      </c>
      <c r="E96" s="5">
        <v>56</v>
      </c>
      <c r="F96" s="5">
        <v>35</v>
      </c>
      <c r="G96" s="6">
        <v>38.4681507612</v>
      </c>
      <c r="H96" s="6">
        <v>30.58</v>
      </c>
      <c r="I96" s="7">
        <v>46000</v>
      </c>
      <c r="J96" s="5" t="s">
        <v>690</v>
      </c>
      <c r="K96" s="3">
        <v>5</v>
      </c>
      <c r="L96" s="3">
        <v>8.9</v>
      </c>
      <c r="M96" s="3">
        <v>105</v>
      </c>
      <c r="N96" s="3">
        <v>0.14285714285714285</v>
      </c>
      <c r="O96" s="3" t="s">
        <v>688</v>
      </c>
      <c r="P96" s="3">
        <v>35</v>
      </c>
      <c r="Q96" s="3">
        <v>0</v>
      </c>
      <c r="R96" s="10" t="s">
        <v>692</v>
      </c>
      <c r="S96" s="3" t="s">
        <v>684</v>
      </c>
    </row>
    <row r="97" spans="1:19" s="3" customFormat="1" ht="30" customHeight="1" x14ac:dyDescent="0.3">
      <c r="A97" s="4" t="s">
        <v>437</v>
      </c>
      <c r="B97" s="5" t="s">
        <v>132</v>
      </c>
      <c r="C97" s="5">
        <v>0</v>
      </c>
      <c r="D97" s="5">
        <v>3</v>
      </c>
      <c r="E97" s="5">
        <v>3</v>
      </c>
      <c r="F97" s="5">
        <v>0</v>
      </c>
      <c r="G97" s="6">
        <v>38.99</v>
      </c>
      <c r="H97" s="6">
        <v>38.99</v>
      </c>
      <c r="I97" s="7">
        <v>45469</v>
      </c>
      <c r="J97" s="5"/>
      <c r="O97" s="3" t="s">
        <v>688</v>
      </c>
      <c r="P97" s="3">
        <v>0</v>
      </c>
      <c r="Q97" s="3" t="s">
        <v>689</v>
      </c>
      <c r="R97" s="10" t="s">
        <v>689</v>
      </c>
      <c r="S97" s="3" t="s">
        <v>703</v>
      </c>
    </row>
    <row r="98" spans="1:19" s="3" customFormat="1" ht="30" customHeight="1" x14ac:dyDescent="0.3">
      <c r="A98" s="4" t="s">
        <v>438</v>
      </c>
      <c r="B98" s="5" t="s">
        <v>310</v>
      </c>
      <c r="C98" s="5">
        <v>36</v>
      </c>
      <c r="D98" s="5">
        <v>43</v>
      </c>
      <c r="E98" s="5">
        <v>7</v>
      </c>
      <c r="F98" s="5">
        <v>2</v>
      </c>
      <c r="G98" s="6">
        <v>68.554085955700003</v>
      </c>
      <c r="H98" s="6">
        <v>69.33</v>
      </c>
      <c r="I98" s="7">
        <v>45947</v>
      </c>
      <c r="J98" s="5"/>
      <c r="L98" s="3">
        <v>18</v>
      </c>
      <c r="M98" s="3">
        <v>6</v>
      </c>
      <c r="O98" s="3" t="s">
        <v>688</v>
      </c>
      <c r="P98" s="3">
        <v>2</v>
      </c>
      <c r="Q98" s="3">
        <v>0</v>
      </c>
      <c r="R98" s="10" t="s">
        <v>692</v>
      </c>
      <c r="S98" s="3" t="s">
        <v>684</v>
      </c>
    </row>
    <row r="99" spans="1:19" s="3" customFormat="1" ht="30" customHeight="1" x14ac:dyDescent="0.3">
      <c r="A99" s="4" t="s">
        <v>439</v>
      </c>
      <c r="B99" s="5" t="s">
        <v>329</v>
      </c>
      <c r="C99" s="5">
        <v>752</v>
      </c>
      <c r="D99" s="5">
        <v>1034</v>
      </c>
      <c r="E99" s="5">
        <v>282</v>
      </c>
      <c r="F99" s="5">
        <v>41</v>
      </c>
      <c r="G99" s="6">
        <v>33.124767132800002</v>
      </c>
      <c r="H99" s="6">
        <v>30.85</v>
      </c>
      <c r="I99" s="7">
        <v>45841</v>
      </c>
      <c r="J99" s="5"/>
      <c r="L99" s="3">
        <v>18.3</v>
      </c>
      <c r="M99" s="3">
        <v>123</v>
      </c>
      <c r="O99" s="3" t="s">
        <v>688</v>
      </c>
      <c r="P99" s="3">
        <v>41</v>
      </c>
      <c r="Q99" s="3">
        <v>0</v>
      </c>
      <c r="R99" s="10" t="s">
        <v>692</v>
      </c>
      <c r="S99" s="3" t="s">
        <v>684</v>
      </c>
    </row>
    <row r="100" spans="1:19" s="3" customFormat="1" ht="30" customHeight="1" x14ac:dyDescent="0.3">
      <c r="A100" s="4" t="s">
        <v>440</v>
      </c>
      <c r="B100" s="5" t="s">
        <v>101</v>
      </c>
      <c r="C100" s="5">
        <v>0</v>
      </c>
      <c r="D100" s="5">
        <v>2</v>
      </c>
      <c r="E100" s="5">
        <v>2</v>
      </c>
      <c r="F100" s="5">
        <v>0</v>
      </c>
      <c r="G100" s="6">
        <v>54.959999999399997</v>
      </c>
      <c r="H100" s="6">
        <v>34.880000000000003</v>
      </c>
      <c r="I100" s="7">
        <v>45233</v>
      </c>
      <c r="J100" s="5"/>
      <c r="O100" s="3" t="s">
        <v>688</v>
      </c>
      <c r="P100" s="3">
        <v>0</v>
      </c>
      <c r="Q100" s="3" t="s">
        <v>689</v>
      </c>
      <c r="R100" s="10" t="s">
        <v>689</v>
      </c>
      <c r="S100" s="3" t="s">
        <v>703</v>
      </c>
    </row>
    <row r="101" spans="1:19" s="3" customFormat="1" ht="30" customHeight="1" x14ac:dyDescent="0.3">
      <c r="A101" s="4" t="s">
        <v>441</v>
      </c>
      <c r="B101" s="5" t="s">
        <v>178</v>
      </c>
      <c r="C101" s="5">
        <v>944</v>
      </c>
      <c r="D101" s="5">
        <v>1030</v>
      </c>
      <c r="E101" s="5">
        <v>86</v>
      </c>
      <c r="F101" s="5">
        <v>357</v>
      </c>
      <c r="G101" s="6">
        <v>27.845712111400001</v>
      </c>
      <c r="H101" s="6">
        <v>27.87</v>
      </c>
      <c r="I101" s="7">
        <v>46128</v>
      </c>
      <c r="J101" s="5" t="s">
        <v>690</v>
      </c>
      <c r="K101" s="3">
        <v>40</v>
      </c>
      <c r="L101" s="3">
        <v>2.6</v>
      </c>
      <c r="M101" s="3">
        <v>1071</v>
      </c>
      <c r="N101" s="3">
        <v>0.11204481792717087</v>
      </c>
      <c r="O101" s="3" t="s">
        <v>688</v>
      </c>
      <c r="P101" s="3">
        <v>357</v>
      </c>
      <c r="Q101" s="3">
        <v>500</v>
      </c>
      <c r="R101" s="10" t="s">
        <v>692</v>
      </c>
      <c r="S101" s="3" t="s">
        <v>686</v>
      </c>
    </row>
    <row r="102" spans="1:19" s="3" customFormat="1" ht="30" customHeight="1" x14ac:dyDescent="0.3">
      <c r="A102" s="4" t="s">
        <v>442</v>
      </c>
      <c r="B102" s="5" t="s">
        <v>247</v>
      </c>
      <c r="C102" s="5">
        <v>63</v>
      </c>
      <c r="D102" s="5">
        <v>79</v>
      </c>
      <c r="E102" s="5">
        <v>16</v>
      </c>
      <c r="F102" s="5">
        <v>14</v>
      </c>
      <c r="G102" s="6">
        <v>44.991021309099999</v>
      </c>
      <c r="H102" s="6">
        <v>28.84</v>
      </c>
      <c r="I102" s="7">
        <v>45994</v>
      </c>
      <c r="J102" s="5"/>
      <c r="L102" s="3">
        <v>4.5</v>
      </c>
      <c r="M102" s="3">
        <v>42</v>
      </c>
      <c r="O102" s="3" t="s">
        <v>688</v>
      </c>
      <c r="P102" s="3">
        <v>14</v>
      </c>
      <c r="Q102" s="3">
        <v>0</v>
      </c>
      <c r="R102" s="10" t="s">
        <v>692</v>
      </c>
      <c r="S102" s="3" t="s">
        <v>684</v>
      </c>
    </row>
    <row r="103" spans="1:19" s="3" customFormat="1" ht="30" customHeight="1" x14ac:dyDescent="0.3">
      <c r="A103" s="4" t="s">
        <v>443</v>
      </c>
      <c r="B103" s="5" t="s">
        <v>222</v>
      </c>
      <c r="C103" s="5">
        <v>333</v>
      </c>
      <c r="D103" s="5">
        <v>363</v>
      </c>
      <c r="E103" s="5">
        <v>30</v>
      </c>
      <c r="F103" s="5">
        <v>72</v>
      </c>
      <c r="G103" s="6">
        <v>31.177410866900001</v>
      </c>
      <c r="H103" s="6">
        <v>27.8</v>
      </c>
      <c r="I103" s="7">
        <v>46139</v>
      </c>
      <c r="J103" s="5" t="s">
        <v>690</v>
      </c>
      <c r="K103" s="3">
        <v>5</v>
      </c>
      <c r="L103" s="3">
        <v>4.5999999999999996</v>
      </c>
      <c r="M103" s="3">
        <v>216</v>
      </c>
      <c r="N103" s="3">
        <v>6.9444444444444448E-2</v>
      </c>
      <c r="O103" s="3" t="s">
        <v>688</v>
      </c>
      <c r="P103" s="3">
        <v>72</v>
      </c>
      <c r="Q103" s="3">
        <v>0</v>
      </c>
      <c r="R103" s="10" t="s">
        <v>692</v>
      </c>
      <c r="S103" s="3" t="s">
        <v>684</v>
      </c>
    </row>
    <row r="104" spans="1:19" s="3" customFormat="1" ht="30" customHeight="1" x14ac:dyDescent="0.3">
      <c r="A104" s="4" t="s">
        <v>444</v>
      </c>
      <c r="B104" s="5" t="s">
        <v>130</v>
      </c>
      <c r="C104" s="5">
        <v>0</v>
      </c>
      <c r="D104" s="5">
        <v>0</v>
      </c>
      <c r="E104" s="5">
        <v>0</v>
      </c>
      <c r="F104" s="5">
        <v>0</v>
      </c>
      <c r="G104" s="6">
        <v>73</v>
      </c>
      <c r="H104" s="6">
        <v>73</v>
      </c>
      <c r="I104" s="7">
        <v>45140</v>
      </c>
      <c r="J104" s="5"/>
      <c r="O104" s="3" t="s">
        <v>688</v>
      </c>
      <c r="P104" s="3">
        <v>0</v>
      </c>
      <c r="Q104" s="3" t="s">
        <v>689</v>
      </c>
      <c r="R104" s="10" t="s">
        <v>689</v>
      </c>
      <c r="S104" s="3" t="s">
        <v>703</v>
      </c>
    </row>
    <row r="105" spans="1:19" s="3" customFormat="1" ht="30" customHeight="1" x14ac:dyDescent="0.3">
      <c r="A105" s="4" t="s">
        <v>445</v>
      </c>
      <c r="B105" s="5" t="s">
        <v>105</v>
      </c>
      <c r="C105" s="5">
        <v>0</v>
      </c>
      <c r="D105" s="5">
        <v>0</v>
      </c>
      <c r="E105" s="5">
        <v>0</v>
      </c>
      <c r="F105" s="5">
        <v>0</v>
      </c>
      <c r="G105" s="6">
        <v>87.479286879900002</v>
      </c>
      <c r="H105" s="6">
        <v>90.09</v>
      </c>
      <c r="I105" s="7">
        <v>45834</v>
      </c>
      <c r="J105" s="5"/>
      <c r="O105" s="3" t="s">
        <v>688</v>
      </c>
      <c r="P105" s="3">
        <v>0</v>
      </c>
      <c r="Q105" s="3" t="s">
        <v>689</v>
      </c>
      <c r="R105" s="10" t="s">
        <v>689</v>
      </c>
      <c r="S105" s="3" t="s">
        <v>703</v>
      </c>
    </row>
    <row r="106" spans="1:19" s="3" customFormat="1" ht="30" customHeight="1" x14ac:dyDescent="0.3">
      <c r="A106" s="4" t="s">
        <v>446</v>
      </c>
      <c r="B106" s="5" t="s">
        <v>325</v>
      </c>
      <c r="C106" s="5">
        <v>36</v>
      </c>
      <c r="D106" s="5">
        <v>43</v>
      </c>
      <c r="E106" s="5">
        <v>7</v>
      </c>
      <c r="F106" s="5">
        <v>1</v>
      </c>
      <c r="G106" s="6">
        <v>38.373923408499998</v>
      </c>
      <c r="H106" s="6">
        <v>28.61</v>
      </c>
      <c r="I106" s="7">
        <v>45982</v>
      </c>
      <c r="J106" s="5"/>
      <c r="L106" s="3">
        <v>36</v>
      </c>
      <c r="M106" s="3">
        <v>3</v>
      </c>
      <c r="O106" s="3" t="s">
        <v>688</v>
      </c>
      <c r="P106" s="3">
        <v>1</v>
      </c>
      <c r="Q106" s="3">
        <v>0</v>
      </c>
      <c r="R106" s="10" t="s">
        <v>692</v>
      </c>
      <c r="S106" s="3" t="s">
        <v>684</v>
      </c>
    </row>
    <row r="107" spans="1:19" s="3" customFormat="1" ht="30" customHeight="1" x14ac:dyDescent="0.3">
      <c r="A107" s="4" t="s">
        <v>447</v>
      </c>
      <c r="B107" s="5" t="s">
        <v>172</v>
      </c>
      <c r="C107" s="5">
        <v>160</v>
      </c>
      <c r="D107" s="5">
        <v>179</v>
      </c>
      <c r="E107" s="5">
        <v>19</v>
      </c>
      <c r="F107" s="5">
        <v>65</v>
      </c>
      <c r="G107" s="6">
        <v>45.403411410700002</v>
      </c>
      <c r="H107" s="6">
        <v>39.31</v>
      </c>
      <c r="I107" s="7">
        <v>46084</v>
      </c>
      <c r="J107" s="5"/>
      <c r="L107" s="3">
        <v>2.5</v>
      </c>
      <c r="M107" s="3">
        <v>195</v>
      </c>
      <c r="O107" s="3" t="s">
        <v>688</v>
      </c>
      <c r="P107" s="3">
        <v>65</v>
      </c>
      <c r="Q107" s="3">
        <v>98</v>
      </c>
      <c r="R107" s="10" t="s">
        <v>692</v>
      </c>
      <c r="S107" s="3" t="s">
        <v>686</v>
      </c>
    </row>
    <row r="108" spans="1:19" s="3" customFormat="1" ht="30" customHeight="1" x14ac:dyDescent="0.3">
      <c r="A108" s="4" t="s">
        <v>448</v>
      </c>
      <c r="B108" s="5" t="s">
        <v>137</v>
      </c>
      <c r="C108" s="5">
        <v>1</v>
      </c>
      <c r="D108" s="5">
        <v>1</v>
      </c>
      <c r="E108" s="5">
        <v>0</v>
      </c>
      <c r="F108" s="5">
        <v>0</v>
      </c>
      <c r="G108" s="6">
        <v>2295</v>
      </c>
      <c r="H108" s="6">
        <v>2295</v>
      </c>
      <c r="I108" s="7">
        <v>45987</v>
      </c>
      <c r="J108" s="5"/>
      <c r="O108" s="3" t="s">
        <v>688</v>
      </c>
      <c r="P108" s="3">
        <v>0</v>
      </c>
      <c r="Q108" s="3" t="s">
        <v>689</v>
      </c>
      <c r="R108" s="10" t="s">
        <v>689</v>
      </c>
      <c r="S108" s="3" t="s">
        <v>704</v>
      </c>
    </row>
    <row r="109" spans="1:19" s="3" customFormat="1" ht="30" customHeight="1" x14ac:dyDescent="0.3">
      <c r="A109" s="4" t="s">
        <v>449</v>
      </c>
      <c r="B109" s="5" t="s">
        <v>301</v>
      </c>
      <c r="C109" s="5">
        <v>30</v>
      </c>
      <c r="D109" s="5">
        <v>35</v>
      </c>
      <c r="E109" s="5">
        <v>5</v>
      </c>
      <c r="F109" s="5">
        <v>6</v>
      </c>
      <c r="G109" s="6">
        <v>796.11347906410003</v>
      </c>
      <c r="H109" s="6">
        <v>1100</v>
      </c>
      <c r="I109" s="7">
        <v>46135</v>
      </c>
      <c r="J109" s="5"/>
      <c r="L109" s="3">
        <v>5</v>
      </c>
      <c r="M109" s="3">
        <v>18</v>
      </c>
      <c r="O109" s="3" t="s">
        <v>688</v>
      </c>
      <c r="P109" s="3">
        <v>6</v>
      </c>
      <c r="Q109" s="3">
        <v>0</v>
      </c>
      <c r="R109" s="10" t="s">
        <v>692</v>
      </c>
      <c r="S109" s="3" t="s">
        <v>684</v>
      </c>
    </row>
    <row r="110" spans="1:19" s="3" customFormat="1" ht="30" customHeight="1" x14ac:dyDescent="0.3">
      <c r="A110" s="4" t="s">
        <v>450</v>
      </c>
      <c r="B110" s="5" t="s">
        <v>299</v>
      </c>
      <c r="C110" s="5">
        <v>29</v>
      </c>
      <c r="D110" s="5">
        <v>34</v>
      </c>
      <c r="E110" s="5">
        <v>5</v>
      </c>
      <c r="F110" s="5">
        <v>4</v>
      </c>
      <c r="G110" s="6">
        <v>999.39771224959998</v>
      </c>
      <c r="H110" s="6">
        <v>1100</v>
      </c>
      <c r="I110" s="7">
        <v>46127</v>
      </c>
      <c r="J110" s="5"/>
      <c r="L110" s="3">
        <v>7.2</v>
      </c>
      <c r="M110" s="3">
        <v>12</v>
      </c>
      <c r="O110" s="3" t="s">
        <v>688</v>
      </c>
      <c r="P110" s="3">
        <v>4</v>
      </c>
      <c r="Q110" s="3">
        <v>0</v>
      </c>
      <c r="R110" s="10" t="s">
        <v>692</v>
      </c>
      <c r="S110" s="3" t="s">
        <v>684</v>
      </c>
    </row>
    <row r="111" spans="1:19" s="3" customFormat="1" ht="30" customHeight="1" x14ac:dyDescent="0.3">
      <c r="A111" s="4" t="s">
        <v>451</v>
      </c>
      <c r="B111" s="5" t="s">
        <v>10</v>
      </c>
      <c r="C111" s="5">
        <v>10</v>
      </c>
      <c r="D111" s="5">
        <v>13</v>
      </c>
      <c r="E111" s="5">
        <v>3</v>
      </c>
      <c r="F111" s="5">
        <v>1</v>
      </c>
      <c r="G111" s="6">
        <v>922.60858100229996</v>
      </c>
      <c r="H111" s="6">
        <v>1100</v>
      </c>
      <c r="I111" s="7">
        <v>46135</v>
      </c>
      <c r="J111" s="5"/>
      <c r="L111" s="3">
        <v>10</v>
      </c>
      <c r="M111" s="3">
        <v>3</v>
      </c>
      <c r="O111" s="3" t="s">
        <v>688</v>
      </c>
      <c r="P111" s="3">
        <v>1</v>
      </c>
      <c r="Q111" s="3">
        <v>0</v>
      </c>
      <c r="R111" s="10" t="s">
        <v>692</v>
      </c>
      <c r="S111" s="3" t="s">
        <v>684</v>
      </c>
    </row>
    <row r="112" spans="1:19" s="3" customFormat="1" ht="30" customHeight="1" x14ac:dyDescent="0.3">
      <c r="A112" s="4" t="s">
        <v>452</v>
      </c>
      <c r="B112" s="5" t="s">
        <v>284</v>
      </c>
      <c r="C112" s="5">
        <v>15</v>
      </c>
      <c r="D112" s="5">
        <v>19</v>
      </c>
      <c r="E112" s="5">
        <v>4</v>
      </c>
      <c r="F112" s="5">
        <v>1</v>
      </c>
      <c r="G112" s="6">
        <v>796.805155689</v>
      </c>
      <c r="H112" s="6">
        <v>719.5</v>
      </c>
      <c r="I112" s="7">
        <v>46132</v>
      </c>
      <c r="J112" s="5"/>
      <c r="L112" s="3">
        <v>15</v>
      </c>
      <c r="M112" s="3">
        <v>3</v>
      </c>
      <c r="O112" s="3" t="s">
        <v>688</v>
      </c>
      <c r="P112" s="3">
        <v>1</v>
      </c>
      <c r="Q112" s="3">
        <v>0</v>
      </c>
      <c r="R112" s="10" t="s">
        <v>692</v>
      </c>
      <c r="S112" s="3" t="s">
        <v>684</v>
      </c>
    </row>
    <row r="113" spans="1:19" s="3" customFormat="1" ht="30" customHeight="1" x14ac:dyDescent="0.3">
      <c r="A113" s="4" t="s">
        <v>453</v>
      </c>
      <c r="B113" s="5" t="s">
        <v>264</v>
      </c>
      <c r="C113" s="5">
        <v>11</v>
      </c>
      <c r="D113" s="5">
        <v>14</v>
      </c>
      <c r="E113" s="5">
        <v>3</v>
      </c>
      <c r="F113" s="5">
        <v>3</v>
      </c>
      <c r="G113" s="6">
        <v>1036.5090342209</v>
      </c>
      <c r="H113" s="6">
        <v>1100</v>
      </c>
      <c r="I113" s="7">
        <v>46135</v>
      </c>
      <c r="J113" s="5"/>
      <c r="L113" s="3">
        <v>3.7</v>
      </c>
      <c r="M113" s="3">
        <v>9</v>
      </c>
      <c r="O113" s="3" t="s">
        <v>688</v>
      </c>
      <c r="P113" s="3">
        <v>3</v>
      </c>
      <c r="Q113" s="3">
        <v>0</v>
      </c>
      <c r="R113" s="10" t="s">
        <v>692</v>
      </c>
      <c r="S113" s="3" t="s">
        <v>684</v>
      </c>
    </row>
    <row r="114" spans="1:19" s="3" customFormat="1" ht="30" customHeight="1" x14ac:dyDescent="0.3">
      <c r="A114" s="4" t="s">
        <v>454</v>
      </c>
      <c r="B114" s="5" t="s">
        <v>279</v>
      </c>
      <c r="C114" s="5">
        <v>6</v>
      </c>
      <c r="D114" s="5">
        <v>8</v>
      </c>
      <c r="E114" s="5">
        <v>2</v>
      </c>
      <c r="F114" s="5">
        <v>1</v>
      </c>
      <c r="G114" s="6">
        <v>1400</v>
      </c>
      <c r="H114" s="6">
        <v>1400</v>
      </c>
      <c r="I114" s="7">
        <v>45476</v>
      </c>
      <c r="J114" s="5"/>
      <c r="L114" s="3">
        <v>6</v>
      </c>
      <c r="M114" s="3">
        <v>3</v>
      </c>
      <c r="O114" s="3" t="s">
        <v>688</v>
      </c>
      <c r="P114" s="3">
        <v>1</v>
      </c>
      <c r="Q114" s="3">
        <v>0</v>
      </c>
      <c r="R114" s="10" t="s">
        <v>692</v>
      </c>
      <c r="S114" s="3" t="s">
        <v>684</v>
      </c>
    </row>
    <row r="115" spans="1:19" s="3" customFormat="1" ht="30" customHeight="1" x14ac:dyDescent="0.3">
      <c r="A115" s="4" t="s">
        <v>455</v>
      </c>
      <c r="B115" s="5" t="s">
        <v>300</v>
      </c>
      <c r="C115" s="5">
        <v>16</v>
      </c>
      <c r="D115" s="5">
        <v>23</v>
      </c>
      <c r="E115" s="5">
        <v>7</v>
      </c>
      <c r="F115" s="5">
        <v>4</v>
      </c>
      <c r="G115" s="6">
        <v>74.030787075899994</v>
      </c>
      <c r="H115" s="6">
        <v>79.59</v>
      </c>
      <c r="I115" s="7">
        <v>45945</v>
      </c>
      <c r="J115" s="5"/>
      <c r="L115" s="3">
        <v>4</v>
      </c>
      <c r="M115" s="3">
        <v>12</v>
      </c>
      <c r="O115" s="3" t="s">
        <v>688</v>
      </c>
      <c r="P115" s="3">
        <v>4</v>
      </c>
      <c r="Q115" s="3">
        <v>0</v>
      </c>
      <c r="R115" s="10" t="s">
        <v>692</v>
      </c>
      <c r="S115" s="3" t="s">
        <v>684</v>
      </c>
    </row>
    <row r="116" spans="1:19" s="3" customFormat="1" ht="30" customHeight="1" x14ac:dyDescent="0.3">
      <c r="A116" s="4" t="s">
        <v>456</v>
      </c>
      <c r="B116" s="5" t="s">
        <v>230</v>
      </c>
      <c r="C116" s="5">
        <v>24</v>
      </c>
      <c r="D116" s="5">
        <v>40</v>
      </c>
      <c r="E116" s="5">
        <v>16</v>
      </c>
      <c r="F116" s="5">
        <v>6</v>
      </c>
      <c r="G116" s="6">
        <v>81.458423631599999</v>
      </c>
      <c r="H116" s="6">
        <v>87.73</v>
      </c>
      <c r="I116" s="7">
        <v>46000</v>
      </c>
      <c r="J116" s="5"/>
      <c r="L116" s="3">
        <v>4</v>
      </c>
      <c r="M116" s="3">
        <v>18</v>
      </c>
      <c r="O116" s="3" t="s">
        <v>688</v>
      </c>
      <c r="P116" s="3">
        <v>6</v>
      </c>
      <c r="Q116" s="3">
        <v>0</v>
      </c>
      <c r="R116" s="10" t="s">
        <v>692</v>
      </c>
      <c r="S116" s="3" t="s">
        <v>684</v>
      </c>
    </row>
    <row r="117" spans="1:19" s="3" customFormat="1" ht="30" customHeight="1" x14ac:dyDescent="0.3">
      <c r="A117" s="4" t="s">
        <v>457</v>
      </c>
      <c r="B117" s="5" t="s">
        <v>253</v>
      </c>
      <c r="C117" s="5">
        <v>16</v>
      </c>
      <c r="D117" s="5">
        <v>25</v>
      </c>
      <c r="E117" s="5">
        <v>9</v>
      </c>
      <c r="F117" s="5">
        <v>3</v>
      </c>
      <c r="G117" s="6">
        <v>163.34071074299999</v>
      </c>
      <c r="H117" s="6">
        <v>166.23</v>
      </c>
      <c r="I117" s="7">
        <v>46139</v>
      </c>
      <c r="J117" s="5"/>
      <c r="L117" s="3">
        <v>5.3</v>
      </c>
      <c r="M117" s="3">
        <v>9</v>
      </c>
      <c r="O117" s="3" t="s">
        <v>688</v>
      </c>
      <c r="P117" s="3">
        <v>3</v>
      </c>
      <c r="Q117" s="3">
        <v>0</v>
      </c>
      <c r="R117" s="10" t="s">
        <v>692</v>
      </c>
      <c r="S117" s="3" t="s">
        <v>684</v>
      </c>
    </row>
    <row r="118" spans="1:19" s="3" customFormat="1" ht="30" customHeight="1" x14ac:dyDescent="0.3">
      <c r="A118" s="4" t="s">
        <v>458</v>
      </c>
      <c r="B118" s="5" t="s">
        <v>182</v>
      </c>
      <c r="C118" s="5">
        <v>33</v>
      </c>
      <c r="D118" s="5">
        <v>46</v>
      </c>
      <c r="E118" s="5">
        <v>13</v>
      </c>
      <c r="F118" s="5">
        <v>13</v>
      </c>
      <c r="G118" s="6">
        <v>119.613417989</v>
      </c>
      <c r="H118" s="6">
        <v>108.49</v>
      </c>
      <c r="I118" s="7">
        <v>45994</v>
      </c>
      <c r="J118" s="5"/>
      <c r="L118" s="3">
        <v>2.5</v>
      </c>
      <c r="M118" s="3">
        <v>39</v>
      </c>
      <c r="O118" s="3" t="s">
        <v>688</v>
      </c>
      <c r="P118" s="3">
        <v>13</v>
      </c>
      <c r="Q118" s="3">
        <v>20</v>
      </c>
      <c r="R118" s="10" t="s">
        <v>692</v>
      </c>
      <c r="S118" s="3" t="s">
        <v>686</v>
      </c>
    </row>
    <row r="119" spans="1:19" s="3" customFormat="1" ht="30" customHeight="1" x14ac:dyDescent="0.3">
      <c r="A119" s="4" t="s">
        <v>459</v>
      </c>
      <c r="B119" s="5" t="s">
        <v>15</v>
      </c>
      <c r="C119" s="5">
        <v>18</v>
      </c>
      <c r="D119" s="5">
        <v>26</v>
      </c>
      <c r="E119" s="5">
        <v>8</v>
      </c>
      <c r="F119" s="5">
        <v>1</v>
      </c>
      <c r="G119" s="6">
        <v>152.83296243039999</v>
      </c>
      <c r="H119" s="6">
        <v>110.47</v>
      </c>
      <c r="I119" s="7">
        <v>45944</v>
      </c>
      <c r="J119" s="5"/>
      <c r="L119" s="3">
        <v>18</v>
      </c>
      <c r="M119" s="3">
        <v>3</v>
      </c>
      <c r="O119" s="3" t="s">
        <v>688</v>
      </c>
      <c r="P119" s="3">
        <v>1</v>
      </c>
      <c r="Q119" s="3">
        <v>0</v>
      </c>
      <c r="R119" s="10" t="s">
        <v>692</v>
      </c>
      <c r="S119" s="3" t="s">
        <v>684</v>
      </c>
    </row>
    <row r="120" spans="1:19" s="3" customFormat="1" ht="30" customHeight="1" x14ac:dyDescent="0.3">
      <c r="A120" s="4" t="s">
        <v>460</v>
      </c>
      <c r="B120" s="5" t="s">
        <v>305</v>
      </c>
      <c r="C120" s="5">
        <v>14</v>
      </c>
      <c r="D120" s="5">
        <v>24</v>
      </c>
      <c r="E120" s="5">
        <v>10</v>
      </c>
      <c r="F120" s="5">
        <v>3</v>
      </c>
      <c r="G120" s="6">
        <v>115.5590906831</v>
      </c>
      <c r="H120" s="6">
        <v>106.36</v>
      </c>
      <c r="I120" s="7">
        <v>45989</v>
      </c>
      <c r="J120" s="5" t="s">
        <v>690</v>
      </c>
      <c r="K120" s="3">
        <v>1</v>
      </c>
      <c r="L120" s="3">
        <v>4.7</v>
      </c>
      <c r="M120" s="3">
        <v>9</v>
      </c>
      <c r="N120" s="3">
        <v>0.33333333333333331</v>
      </c>
      <c r="O120" s="3" t="s">
        <v>688</v>
      </c>
      <c r="P120" s="3">
        <v>3</v>
      </c>
      <c r="Q120" s="3">
        <v>0</v>
      </c>
      <c r="R120" s="10" t="s">
        <v>692</v>
      </c>
      <c r="S120" s="3" t="s">
        <v>684</v>
      </c>
    </row>
    <row r="121" spans="1:19" s="3" customFormat="1" ht="30" customHeight="1" x14ac:dyDescent="0.3">
      <c r="A121" s="4" t="s">
        <v>461</v>
      </c>
      <c r="B121" s="5" t="s">
        <v>98</v>
      </c>
      <c r="C121" s="5">
        <v>10</v>
      </c>
      <c r="D121" s="5">
        <v>17</v>
      </c>
      <c r="E121" s="5">
        <v>7</v>
      </c>
      <c r="F121" s="5">
        <v>0</v>
      </c>
      <c r="G121" s="6">
        <v>108.349600581</v>
      </c>
      <c r="H121" s="6">
        <v>113.42</v>
      </c>
      <c r="I121" s="7">
        <v>45919</v>
      </c>
      <c r="J121" s="5"/>
      <c r="O121" s="3" t="s">
        <v>688</v>
      </c>
      <c r="P121" s="3">
        <v>0</v>
      </c>
      <c r="Q121" s="3" t="s">
        <v>689</v>
      </c>
      <c r="R121" s="10" t="s">
        <v>689</v>
      </c>
      <c r="S121" s="3" t="s">
        <v>704</v>
      </c>
    </row>
    <row r="122" spans="1:19" s="3" customFormat="1" ht="30" customHeight="1" x14ac:dyDescent="0.3">
      <c r="A122" s="4" t="s">
        <v>462</v>
      </c>
      <c r="B122" s="5" t="s">
        <v>317</v>
      </c>
      <c r="C122" s="5">
        <v>25</v>
      </c>
      <c r="D122" s="5">
        <v>35</v>
      </c>
      <c r="E122" s="5">
        <v>10</v>
      </c>
      <c r="F122" s="5">
        <v>3</v>
      </c>
      <c r="G122" s="6">
        <v>129.59320218030001</v>
      </c>
      <c r="H122" s="6">
        <v>109.99</v>
      </c>
      <c r="I122" s="7">
        <v>45842</v>
      </c>
      <c r="J122" s="5" t="s">
        <v>690</v>
      </c>
      <c r="K122" s="3">
        <v>1</v>
      </c>
      <c r="L122" s="3">
        <v>8.3000000000000007</v>
      </c>
      <c r="M122" s="3">
        <v>9</v>
      </c>
      <c r="N122" s="3">
        <v>0.33333333333333331</v>
      </c>
      <c r="O122" s="3" t="s">
        <v>688</v>
      </c>
      <c r="P122" s="3">
        <v>3</v>
      </c>
      <c r="Q122" s="3">
        <v>0</v>
      </c>
      <c r="R122" s="10" t="s">
        <v>692</v>
      </c>
      <c r="S122" s="3" t="s">
        <v>684</v>
      </c>
    </row>
    <row r="123" spans="1:19" s="3" customFormat="1" ht="30" customHeight="1" x14ac:dyDescent="0.3">
      <c r="A123" s="4" t="s">
        <v>463</v>
      </c>
      <c r="B123" s="5" t="s">
        <v>250</v>
      </c>
      <c r="C123" s="5">
        <v>82</v>
      </c>
      <c r="D123" s="5">
        <v>92</v>
      </c>
      <c r="E123" s="5">
        <v>10</v>
      </c>
      <c r="F123" s="5">
        <v>15</v>
      </c>
      <c r="G123" s="6">
        <v>107.0630883021</v>
      </c>
      <c r="H123" s="6">
        <v>102.9</v>
      </c>
      <c r="I123" s="7">
        <v>46139</v>
      </c>
      <c r="J123" s="5" t="s">
        <v>690</v>
      </c>
      <c r="K123" s="3">
        <v>2</v>
      </c>
      <c r="L123" s="3">
        <v>5.5</v>
      </c>
      <c r="M123" s="3">
        <v>45</v>
      </c>
      <c r="N123" s="3">
        <v>0.13333333333333333</v>
      </c>
      <c r="O123" s="3" t="s">
        <v>688</v>
      </c>
      <c r="P123" s="3">
        <v>15</v>
      </c>
      <c r="Q123" s="3">
        <v>0</v>
      </c>
      <c r="R123" s="10" t="s">
        <v>692</v>
      </c>
      <c r="S123" s="3" t="s">
        <v>684</v>
      </c>
    </row>
    <row r="124" spans="1:19" s="3" customFormat="1" ht="30" customHeight="1" x14ac:dyDescent="0.3">
      <c r="A124" s="4" t="s">
        <v>464</v>
      </c>
      <c r="B124" s="5" t="s">
        <v>224</v>
      </c>
      <c r="C124" s="5">
        <v>637</v>
      </c>
      <c r="D124" s="5">
        <v>670</v>
      </c>
      <c r="E124" s="5">
        <v>33</v>
      </c>
      <c r="F124" s="5">
        <v>129</v>
      </c>
      <c r="G124" s="6">
        <v>115.8176288611</v>
      </c>
      <c r="H124" s="6">
        <v>108</v>
      </c>
      <c r="I124" s="7">
        <v>46139</v>
      </c>
      <c r="J124" s="5"/>
      <c r="L124" s="3">
        <v>4.9000000000000004</v>
      </c>
      <c r="M124" s="3">
        <v>387</v>
      </c>
      <c r="O124" s="3" t="s">
        <v>688</v>
      </c>
      <c r="P124" s="3">
        <v>129</v>
      </c>
      <c r="Q124" s="3">
        <v>0</v>
      </c>
      <c r="R124" s="10" t="s">
        <v>692</v>
      </c>
      <c r="S124" s="3" t="s">
        <v>684</v>
      </c>
    </row>
    <row r="125" spans="1:19" s="3" customFormat="1" ht="30" customHeight="1" x14ac:dyDescent="0.3">
      <c r="A125" s="4" t="s">
        <v>465</v>
      </c>
      <c r="B125" s="5" t="s">
        <v>215</v>
      </c>
      <c r="C125" s="5">
        <v>83</v>
      </c>
      <c r="D125" s="5">
        <v>90</v>
      </c>
      <c r="E125" s="5">
        <v>7</v>
      </c>
      <c r="F125" s="5">
        <v>17</v>
      </c>
      <c r="G125" s="6">
        <v>112.43354600719999</v>
      </c>
      <c r="H125" s="6">
        <v>108</v>
      </c>
      <c r="I125" s="7">
        <v>46105</v>
      </c>
      <c r="J125" s="5"/>
      <c r="L125" s="3">
        <v>4.9000000000000004</v>
      </c>
      <c r="M125" s="3">
        <v>51</v>
      </c>
      <c r="O125" s="3" t="s">
        <v>688</v>
      </c>
      <c r="P125" s="3">
        <v>17</v>
      </c>
      <c r="Q125" s="3">
        <v>0</v>
      </c>
      <c r="R125" s="10" t="s">
        <v>692</v>
      </c>
      <c r="S125" s="3" t="s">
        <v>684</v>
      </c>
    </row>
    <row r="126" spans="1:19" s="3" customFormat="1" ht="30" customHeight="1" x14ac:dyDescent="0.3">
      <c r="A126" s="4" t="s">
        <v>466</v>
      </c>
      <c r="B126" s="5" t="s">
        <v>231</v>
      </c>
      <c r="C126" s="5">
        <v>47</v>
      </c>
      <c r="D126" s="5">
        <v>64</v>
      </c>
      <c r="E126" s="5">
        <v>17</v>
      </c>
      <c r="F126" s="5">
        <v>10</v>
      </c>
      <c r="G126" s="6">
        <v>114.91505073410001</v>
      </c>
      <c r="H126" s="6">
        <v>110.01</v>
      </c>
      <c r="I126" s="7">
        <v>45890</v>
      </c>
      <c r="J126" s="5"/>
      <c r="L126" s="3">
        <v>4.7</v>
      </c>
      <c r="M126" s="3">
        <v>30</v>
      </c>
      <c r="O126" s="3" t="s">
        <v>688</v>
      </c>
      <c r="P126" s="3">
        <v>10</v>
      </c>
      <c r="Q126" s="3">
        <v>0</v>
      </c>
      <c r="R126" s="10" t="s">
        <v>692</v>
      </c>
      <c r="S126" s="3" t="s">
        <v>684</v>
      </c>
    </row>
    <row r="127" spans="1:19" s="3" customFormat="1" ht="30" customHeight="1" x14ac:dyDescent="0.3">
      <c r="A127" s="4" t="s">
        <v>467</v>
      </c>
      <c r="B127" s="5" t="s">
        <v>203</v>
      </c>
      <c r="C127" s="5">
        <v>57</v>
      </c>
      <c r="D127" s="5">
        <v>68</v>
      </c>
      <c r="E127" s="5">
        <v>11</v>
      </c>
      <c r="F127" s="5">
        <v>16</v>
      </c>
      <c r="G127" s="6">
        <v>135</v>
      </c>
      <c r="H127" s="6">
        <v>135</v>
      </c>
      <c r="I127" s="7">
        <v>46080</v>
      </c>
      <c r="J127" s="5"/>
      <c r="L127" s="3">
        <v>3.6</v>
      </c>
      <c r="M127" s="3">
        <v>48</v>
      </c>
      <c r="O127" s="3" t="s">
        <v>688</v>
      </c>
      <c r="P127" s="3">
        <v>16</v>
      </c>
      <c r="Q127" s="3">
        <v>0</v>
      </c>
      <c r="R127" s="10" t="s">
        <v>692</v>
      </c>
      <c r="S127" s="3" t="s">
        <v>684</v>
      </c>
    </row>
    <row r="128" spans="1:19" s="3" customFormat="1" ht="30" customHeight="1" x14ac:dyDescent="0.3">
      <c r="A128" s="4" t="s">
        <v>468</v>
      </c>
      <c r="B128" s="5" t="s">
        <v>261</v>
      </c>
      <c r="C128" s="5">
        <v>68</v>
      </c>
      <c r="D128" s="5">
        <v>88</v>
      </c>
      <c r="E128" s="5">
        <v>20</v>
      </c>
      <c r="F128" s="5">
        <v>15</v>
      </c>
      <c r="G128" s="6">
        <v>120.88273385070001</v>
      </c>
      <c r="H128" s="6">
        <v>101.89</v>
      </c>
      <c r="I128" s="7">
        <v>46084</v>
      </c>
      <c r="J128" s="5"/>
      <c r="L128" s="3">
        <v>4.5</v>
      </c>
      <c r="M128" s="3">
        <v>45</v>
      </c>
      <c r="O128" s="3" t="s">
        <v>688</v>
      </c>
      <c r="P128" s="3">
        <v>15</v>
      </c>
      <c r="Q128" s="3">
        <v>0</v>
      </c>
      <c r="R128" s="10" t="s">
        <v>692</v>
      </c>
      <c r="S128" s="3" t="s">
        <v>684</v>
      </c>
    </row>
    <row r="129" spans="1:19" ht="30" customHeight="1" x14ac:dyDescent="0.3">
      <c r="A129" s="4" t="s">
        <v>469</v>
      </c>
      <c r="B129" s="5" t="s">
        <v>306</v>
      </c>
      <c r="C129" s="5">
        <v>26</v>
      </c>
      <c r="D129" s="5">
        <v>38</v>
      </c>
      <c r="E129" s="5">
        <v>12</v>
      </c>
      <c r="F129" s="5">
        <v>3</v>
      </c>
      <c r="G129" s="6">
        <v>122.23335968390001</v>
      </c>
      <c r="H129" s="6">
        <v>101.89</v>
      </c>
      <c r="I129" s="7">
        <v>46139</v>
      </c>
      <c r="J129" s="5" t="s">
        <v>690</v>
      </c>
      <c r="K129" s="5">
        <v>5</v>
      </c>
      <c r="L129" s="5">
        <v>8.6999999999999993</v>
      </c>
      <c r="M129" s="5">
        <v>9</v>
      </c>
      <c r="N129" s="3">
        <v>1.6666666666666667</v>
      </c>
      <c r="O129" s="5" t="s">
        <v>705</v>
      </c>
      <c r="P129" s="5">
        <v>6</v>
      </c>
      <c r="Q129" s="5">
        <v>0</v>
      </c>
      <c r="R129" s="5">
        <v>0</v>
      </c>
      <c r="S129" s="5" t="s">
        <v>684</v>
      </c>
    </row>
    <row r="130" spans="1:19" s="3" customFormat="1" ht="30" customHeight="1" x14ac:dyDescent="0.3">
      <c r="A130" s="4" t="s">
        <v>470</v>
      </c>
      <c r="B130" s="5" t="s">
        <v>327</v>
      </c>
      <c r="C130" s="5">
        <v>10</v>
      </c>
      <c r="D130" s="5">
        <v>23</v>
      </c>
      <c r="E130" s="5">
        <v>13</v>
      </c>
      <c r="F130" s="5">
        <v>1</v>
      </c>
      <c r="G130" s="6">
        <v>142.09022700369999</v>
      </c>
      <c r="H130" s="6">
        <v>134.99</v>
      </c>
      <c r="I130" s="7">
        <v>45919</v>
      </c>
      <c r="J130" s="5"/>
      <c r="L130" s="3">
        <v>10</v>
      </c>
      <c r="M130" s="3">
        <v>3</v>
      </c>
      <c r="O130" s="3" t="s">
        <v>688</v>
      </c>
      <c r="P130" s="3">
        <v>1</v>
      </c>
      <c r="Q130" s="3">
        <v>0</v>
      </c>
      <c r="R130" s="10" t="s">
        <v>692</v>
      </c>
      <c r="S130" s="3" t="s">
        <v>684</v>
      </c>
    </row>
    <row r="131" spans="1:19" s="3" customFormat="1" ht="30" customHeight="1" x14ac:dyDescent="0.3">
      <c r="A131" s="4" t="s">
        <v>471</v>
      </c>
      <c r="B131" s="5" t="s">
        <v>219</v>
      </c>
      <c r="C131" s="5">
        <v>213</v>
      </c>
      <c r="D131" s="5">
        <v>230</v>
      </c>
      <c r="E131" s="5">
        <v>17</v>
      </c>
      <c r="F131" s="5">
        <v>46</v>
      </c>
      <c r="G131" s="6">
        <v>107.7564747638</v>
      </c>
      <c r="H131" s="6">
        <v>101.89</v>
      </c>
      <c r="I131" s="7">
        <v>46135</v>
      </c>
      <c r="J131" s="5"/>
      <c r="L131" s="3">
        <v>4.5999999999999996</v>
      </c>
      <c r="M131" s="3">
        <v>138</v>
      </c>
      <c r="O131" s="3" t="s">
        <v>688</v>
      </c>
      <c r="P131" s="3">
        <v>46</v>
      </c>
      <c r="Q131" s="3">
        <v>0</v>
      </c>
      <c r="R131" s="10" t="s">
        <v>692</v>
      </c>
      <c r="S131" s="3" t="s">
        <v>684</v>
      </c>
    </row>
    <row r="132" spans="1:19" s="3" customFormat="1" ht="30" customHeight="1" x14ac:dyDescent="0.3">
      <c r="A132" s="4" t="s">
        <v>472</v>
      </c>
      <c r="B132" s="5" t="s">
        <v>337</v>
      </c>
      <c r="C132" s="5">
        <v>20</v>
      </c>
      <c r="D132" s="5">
        <v>35</v>
      </c>
      <c r="E132" s="5">
        <v>15</v>
      </c>
      <c r="F132" s="5">
        <v>0</v>
      </c>
      <c r="G132" s="6">
        <v>134.32345608529999</v>
      </c>
      <c r="H132" s="6">
        <v>108</v>
      </c>
      <c r="I132" s="7">
        <v>46065</v>
      </c>
      <c r="J132" s="5"/>
      <c r="O132" s="3" t="s">
        <v>688</v>
      </c>
      <c r="P132" s="3">
        <v>0</v>
      </c>
      <c r="Q132" s="3" t="s">
        <v>689</v>
      </c>
      <c r="R132" s="10" t="s">
        <v>689</v>
      </c>
      <c r="S132" s="3" t="s">
        <v>704</v>
      </c>
    </row>
    <row r="133" spans="1:19" s="3" customFormat="1" ht="30" customHeight="1" x14ac:dyDescent="0.3">
      <c r="A133" s="4" t="s">
        <v>473</v>
      </c>
      <c r="B133" s="5" t="s">
        <v>302</v>
      </c>
      <c r="C133" s="5">
        <v>87</v>
      </c>
      <c r="D133" s="5">
        <v>103</v>
      </c>
      <c r="E133" s="5">
        <v>16</v>
      </c>
      <c r="F133" s="5">
        <v>7</v>
      </c>
      <c r="G133" s="6">
        <v>109.50863757099999</v>
      </c>
      <c r="H133" s="6">
        <v>109.35</v>
      </c>
      <c r="I133" s="7">
        <v>45978</v>
      </c>
      <c r="J133" s="5"/>
      <c r="L133" s="3">
        <v>12.4</v>
      </c>
      <c r="M133" s="3">
        <v>21</v>
      </c>
      <c r="O133" s="3" t="s">
        <v>688</v>
      </c>
      <c r="P133" s="3">
        <v>7</v>
      </c>
      <c r="Q133" s="3">
        <v>0</v>
      </c>
      <c r="R133" s="10" t="s">
        <v>692</v>
      </c>
      <c r="S133" s="3" t="s">
        <v>684</v>
      </c>
    </row>
    <row r="134" spans="1:19" s="3" customFormat="1" ht="30" customHeight="1" x14ac:dyDescent="0.3">
      <c r="A134" s="4" t="s">
        <v>474</v>
      </c>
      <c r="B134" s="5" t="s">
        <v>145</v>
      </c>
      <c r="C134" s="5">
        <v>5</v>
      </c>
      <c r="D134" s="5">
        <v>8</v>
      </c>
      <c r="E134" s="5">
        <v>3</v>
      </c>
      <c r="F134" s="5">
        <v>0</v>
      </c>
      <c r="G134" s="6">
        <v>110</v>
      </c>
      <c r="H134" s="6">
        <v>110</v>
      </c>
      <c r="I134" s="7">
        <v>45551</v>
      </c>
      <c r="J134" s="5"/>
      <c r="O134" s="3" t="s">
        <v>688</v>
      </c>
      <c r="P134" s="3">
        <v>0</v>
      </c>
      <c r="Q134" s="3" t="s">
        <v>689</v>
      </c>
      <c r="R134" s="10" t="s">
        <v>689</v>
      </c>
      <c r="S134" s="3" t="s">
        <v>704</v>
      </c>
    </row>
    <row r="135" spans="1:19" s="3" customFormat="1" ht="30" customHeight="1" x14ac:dyDescent="0.3">
      <c r="A135" s="4" t="s">
        <v>475</v>
      </c>
      <c r="B135" s="5" t="s">
        <v>334</v>
      </c>
      <c r="C135" s="5">
        <v>16</v>
      </c>
      <c r="D135" s="5">
        <v>29</v>
      </c>
      <c r="E135" s="5">
        <v>13</v>
      </c>
      <c r="F135" s="5">
        <v>2</v>
      </c>
      <c r="G135" s="6">
        <v>100.18457039650001</v>
      </c>
      <c r="H135" s="6">
        <v>105</v>
      </c>
      <c r="I135" s="7">
        <v>46062</v>
      </c>
      <c r="J135" s="5"/>
      <c r="L135" s="3">
        <v>8</v>
      </c>
      <c r="M135" s="3">
        <v>6</v>
      </c>
      <c r="O135" s="3" t="s">
        <v>688</v>
      </c>
      <c r="P135" s="3">
        <v>2</v>
      </c>
      <c r="Q135" s="3">
        <v>0</v>
      </c>
      <c r="R135" s="10" t="s">
        <v>692</v>
      </c>
      <c r="S135" s="3" t="s">
        <v>684</v>
      </c>
    </row>
    <row r="136" spans="1:19" s="3" customFormat="1" ht="30" customHeight="1" x14ac:dyDescent="0.3">
      <c r="A136" s="4" t="s">
        <v>476</v>
      </c>
      <c r="B136" s="5" t="s">
        <v>82</v>
      </c>
      <c r="C136" s="5">
        <v>15</v>
      </c>
      <c r="D136" s="5">
        <v>23</v>
      </c>
      <c r="E136" s="5">
        <v>8</v>
      </c>
      <c r="F136" s="5">
        <v>0</v>
      </c>
      <c r="G136" s="6">
        <v>202.20554614470001</v>
      </c>
      <c r="H136" s="6">
        <v>213</v>
      </c>
      <c r="I136" s="7">
        <v>45734</v>
      </c>
      <c r="J136" s="5"/>
      <c r="O136" s="3" t="s">
        <v>688</v>
      </c>
      <c r="P136" s="3">
        <v>0</v>
      </c>
      <c r="Q136" s="3" t="s">
        <v>689</v>
      </c>
      <c r="R136" s="10" t="s">
        <v>689</v>
      </c>
      <c r="S136" s="3" t="s">
        <v>704</v>
      </c>
    </row>
    <row r="137" spans="1:19" s="3" customFormat="1" ht="30" customHeight="1" x14ac:dyDescent="0.3">
      <c r="A137" s="4" t="s">
        <v>477</v>
      </c>
      <c r="B137" s="5" t="s">
        <v>127</v>
      </c>
      <c r="C137" s="5">
        <v>0</v>
      </c>
      <c r="D137" s="5">
        <v>0</v>
      </c>
      <c r="E137" s="5">
        <v>0</v>
      </c>
      <c r="F137" s="5">
        <v>0</v>
      </c>
      <c r="G137" s="6">
        <v>154</v>
      </c>
      <c r="H137" s="6">
        <v>154</v>
      </c>
      <c r="I137" s="7">
        <v>45244</v>
      </c>
      <c r="J137" s="5"/>
      <c r="O137" s="3" t="s">
        <v>688</v>
      </c>
      <c r="P137" s="3">
        <v>0</v>
      </c>
      <c r="Q137" s="3" t="s">
        <v>689</v>
      </c>
      <c r="R137" s="10" t="s">
        <v>689</v>
      </c>
      <c r="S137" s="3" t="s">
        <v>703</v>
      </c>
    </row>
    <row r="138" spans="1:19" s="3" customFormat="1" ht="30" customHeight="1" x14ac:dyDescent="0.3">
      <c r="A138" s="4" t="s">
        <v>478</v>
      </c>
      <c r="B138" s="5" t="s">
        <v>116</v>
      </c>
      <c r="C138" s="5">
        <v>0</v>
      </c>
      <c r="D138" s="5">
        <v>0</v>
      </c>
      <c r="E138" s="5">
        <v>0</v>
      </c>
      <c r="F138" s="5">
        <v>0</v>
      </c>
      <c r="G138" s="6">
        <v>154.0000000002</v>
      </c>
      <c r="H138" s="6">
        <v>154</v>
      </c>
      <c r="I138" s="7">
        <v>45238</v>
      </c>
      <c r="J138" s="5"/>
      <c r="O138" s="3" t="s">
        <v>688</v>
      </c>
      <c r="P138" s="3">
        <v>0</v>
      </c>
      <c r="Q138" s="3" t="s">
        <v>689</v>
      </c>
      <c r="R138" s="10" t="s">
        <v>689</v>
      </c>
      <c r="S138" s="3" t="s">
        <v>703</v>
      </c>
    </row>
    <row r="139" spans="1:19" s="3" customFormat="1" ht="30" customHeight="1" x14ac:dyDescent="0.3">
      <c r="A139" s="4" t="s">
        <v>479</v>
      </c>
      <c r="B139" s="5" t="s">
        <v>138</v>
      </c>
      <c r="C139" s="5">
        <v>10</v>
      </c>
      <c r="D139" s="5">
        <v>10</v>
      </c>
      <c r="E139" s="5">
        <v>0</v>
      </c>
      <c r="F139" s="5">
        <v>0</v>
      </c>
      <c r="G139" s="6">
        <v>135</v>
      </c>
      <c r="H139" s="6">
        <v>135</v>
      </c>
      <c r="I139" s="7">
        <v>46064</v>
      </c>
      <c r="J139" s="5"/>
      <c r="O139" s="3" t="s">
        <v>688</v>
      </c>
      <c r="P139" s="3">
        <v>0</v>
      </c>
      <c r="Q139" s="3" t="s">
        <v>689</v>
      </c>
      <c r="R139" s="10" t="s">
        <v>689</v>
      </c>
      <c r="S139" s="3" t="s">
        <v>704</v>
      </c>
    </row>
    <row r="140" spans="1:19" s="3" customFormat="1" ht="30" customHeight="1" x14ac:dyDescent="0.3">
      <c r="A140" s="4" t="s">
        <v>480</v>
      </c>
      <c r="B140" s="5" t="s">
        <v>283</v>
      </c>
      <c r="C140" s="5">
        <v>40</v>
      </c>
      <c r="D140" s="5">
        <v>47</v>
      </c>
      <c r="E140" s="5">
        <v>7</v>
      </c>
      <c r="F140" s="5">
        <v>3</v>
      </c>
      <c r="G140" s="6">
        <v>392.8533411711</v>
      </c>
      <c r="H140" s="6">
        <v>220</v>
      </c>
      <c r="I140" s="7">
        <v>46122</v>
      </c>
      <c r="J140" s="5"/>
      <c r="L140" s="3">
        <v>13.3</v>
      </c>
      <c r="M140" s="3">
        <v>9</v>
      </c>
      <c r="O140" s="3" t="s">
        <v>688</v>
      </c>
      <c r="P140" s="3">
        <v>3</v>
      </c>
      <c r="Q140" s="3">
        <v>0</v>
      </c>
      <c r="R140" s="10" t="s">
        <v>692</v>
      </c>
      <c r="S140" s="3" t="s">
        <v>684</v>
      </c>
    </row>
    <row r="141" spans="1:19" s="3" customFormat="1" ht="30" customHeight="1" x14ac:dyDescent="0.3">
      <c r="A141" s="4" t="s">
        <v>481</v>
      </c>
      <c r="B141" s="5" t="s">
        <v>121</v>
      </c>
      <c r="C141" s="5">
        <v>2</v>
      </c>
      <c r="D141" s="5">
        <v>4</v>
      </c>
      <c r="E141" s="5">
        <v>2</v>
      </c>
      <c r="F141" s="5">
        <v>0</v>
      </c>
      <c r="G141" s="6">
        <v>243.0563662452</v>
      </c>
      <c r="H141" s="6">
        <v>280</v>
      </c>
      <c r="I141" s="7">
        <v>44669</v>
      </c>
      <c r="J141" s="5"/>
      <c r="O141" s="3" t="s">
        <v>688</v>
      </c>
      <c r="P141" s="3">
        <v>0</v>
      </c>
      <c r="Q141" s="3" t="s">
        <v>689</v>
      </c>
      <c r="R141" s="10" t="s">
        <v>689</v>
      </c>
      <c r="S141" s="3" t="s">
        <v>704</v>
      </c>
    </row>
    <row r="142" spans="1:19" s="3" customFormat="1" ht="30" customHeight="1" x14ac:dyDescent="0.3">
      <c r="A142" s="4" t="s">
        <v>482</v>
      </c>
      <c r="B142" s="5" t="s">
        <v>281</v>
      </c>
      <c r="C142" s="5">
        <v>80</v>
      </c>
      <c r="D142" s="5">
        <v>93</v>
      </c>
      <c r="E142" s="5">
        <v>13</v>
      </c>
      <c r="F142" s="5">
        <v>12</v>
      </c>
      <c r="G142" s="6">
        <v>230.20445286579999</v>
      </c>
      <c r="H142" s="6">
        <v>220</v>
      </c>
      <c r="I142" s="7">
        <v>46122</v>
      </c>
      <c r="J142" s="5"/>
      <c r="L142" s="3">
        <v>6.7</v>
      </c>
      <c r="M142" s="3">
        <v>36</v>
      </c>
      <c r="O142" s="3" t="s">
        <v>688</v>
      </c>
      <c r="P142" s="3">
        <v>12</v>
      </c>
      <c r="Q142" s="3">
        <v>0</v>
      </c>
      <c r="R142" s="10" t="s">
        <v>692</v>
      </c>
      <c r="S142" s="3" t="s">
        <v>684</v>
      </c>
    </row>
    <row r="143" spans="1:19" s="3" customFormat="1" ht="30" customHeight="1" x14ac:dyDescent="0.3">
      <c r="A143" s="4" t="s">
        <v>483</v>
      </c>
      <c r="B143" s="5" t="s">
        <v>114</v>
      </c>
      <c r="C143" s="5">
        <v>4</v>
      </c>
      <c r="D143" s="5">
        <v>4</v>
      </c>
      <c r="E143" s="5">
        <v>0</v>
      </c>
      <c r="F143" s="5">
        <v>0</v>
      </c>
      <c r="G143" s="6">
        <v>980</v>
      </c>
      <c r="H143" s="6">
        <v>980</v>
      </c>
      <c r="I143" s="7">
        <v>45786</v>
      </c>
      <c r="J143" s="5"/>
      <c r="O143" s="3" t="s">
        <v>688</v>
      </c>
      <c r="P143" s="3">
        <v>0</v>
      </c>
      <c r="Q143" s="3" t="s">
        <v>689</v>
      </c>
      <c r="R143" s="10" t="s">
        <v>689</v>
      </c>
      <c r="S143" s="3" t="s">
        <v>704</v>
      </c>
    </row>
    <row r="144" spans="1:19" s="3" customFormat="1" ht="30" customHeight="1" x14ac:dyDescent="0.3">
      <c r="A144" s="4" t="s">
        <v>484</v>
      </c>
      <c r="B144" s="5" t="s">
        <v>314</v>
      </c>
      <c r="C144" s="5">
        <v>12</v>
      </c>
      <c r="D144" s="5">
        <v>16</v>
      </c>
      <c r="E144" s="5">
        <v>4</v>
      </c>
      <c r="F144" s="5">
        <v>1</v>
      </c>
      <c r="G144" s="6">
        <v>105.69121919449999</v>
      </c>
      <c r="H144" s="6">
        <v>114.49</v>
      </c>
      <c r="I144" s="7">
        <v>46139</v>
      </c>
      <c r="J144" s="5"/>
      <c r="L144" s="3">
        <v>12</v>
      </c>
      <c r="M144" s="3">
        <v>3</v>
      </c>
      <c r="O144" s="3" t="s">
        <v>688</v>
      </c>
      <c r="P144" s="3">
        <v>1</v>
      </c>
      <c r="Q144" s="3">
        <v>0</v>
      </c>
      <c r="R144" s="10" t="s">
        <v>692</v>
      </c>
      <c r="S144" s="3" t="s">
        <v>684</v>
      </c>
    </row>
    <row r="145" spans="1:19" s="3" customFormat="1" ht="30" customHeight="1" x14ac:dyDescent="0.3">
      <c r="A145" s="4" t="s">
        <v>485</v>
      </c>
      <c r="B145" s="5" t="s">
        <v>193</v>
      </c>
      <c r="C145" s="5">
        <v>13</v>
      </c>
      <c r="D145" s="5">
        <v>18</v>
      </c>
      <c r="E145" s="5">
        <v>5</v>
      </c>
      <c r="F145" s="5">
        <v>5</v>
      </c>
      <c r="G145" s="6">
        <v>99.396637894600005</v>
      </c>
      <c r="H145" s="6">
        <v>102.19</v>
      </c>
      <c r="I145" s="7">
        <v>46139</v>
      </c>
      <c r="J145" s="5"/>
      <c r="L145" s="3">
        <v>2.6</v>
      </c>
      <c r="M145" s="3">
        <v>15</v>
      </c>
      <c r="O145" s="3" t="s">
        <v>688</v>
      </c>
      <c r="P145" s="3">
        <v>5</v>
      </c>
      <c r="Q145" s="3">
        <v>7</v>
      </c>
      <c r="R145" s="10" t="s">
        <v>692</v>
      </c>
      <c r="S145" s="3" t="s">
        <v>686</v>
      </c>
    </row>
    <row r="146" spans="1:19" s="3" customFormat="1" ht="30" customHeight="1" x14ac:dyDescent="0.3">
      <c r="A146" s="4" t="s">
        <v>486</v>
      </c>
      <c r="B146" s="5" t="s">
        <v>175</v>
      </c>
      <c r="C146" s="5">
        <v>6</v>
      </c>
      <c r="D146" s="5">
        <v>8</v>
      </c>
      <c r="E146" s="5">
        <v>2</v>
      </c>
      <c r="F146" s="5">
        <v>6</v>
      </c>
      <c r="G146" s="6">
        <v>99.870137036599999</v>
      </c>
      <c r="H146" s="6">
        <v>105.93</v>
      </c>
      <c r="I146" s="7">
        <v>46119</v>
      </c>
      <c r="J146" s="5"/>
      <c r="L146" s="3">
        <v>1</v>
      </c>
      <c r="M146" s="3">
        <v>18</v>
      </c>
      <c r="O146" s="3" t="s">
        <v>688</v>
      </c>
      <c r="P146" s="3">
        <v>6</v>
      </c>
      <c r="Q146" s="3">
        <v>18</v>
      </c>
      <c r="R146" s="10" t="s">
        <v>692</v>
      </c>
      <c r="S146" s="3" t="s">
        <v>686</v>
      </c>
    </row>
    <row r="147" spans="1:19" s="3" customFormat="1" ht="30" customHeight="1" x14ac:dyDescent="0.3">
      <c r="A147" s="4" t="s">
        <v>487</v>
      </c>
      <c r="B147" s="5" t="s">
        <v>252</v>
      </c>
      <c r="C147" s="5">
        <v>21</v>
      </c>
      <c r="D147" s="5">
        <v>25</v>
      </c>
      <c r="E147" s="5">
        <v>4</v>
      </c>
      <c r="F147" s="5">
        <v>3</v>
      </c>
      <c r="G147" s="6">
        <v>110.6061147393</v>
      </c>
      <c r="H147" s="6">
        <v>114.49</v>
      </c>
      <c r="I147" s="7">
        <v>46119</v>
      </c>
      <c r="J147" s="5"/>
      <c r="L147" s="3">
        <v>7</v>
      </c>
      <c r="M147" s="3">
        <v>9</v>
      </c>
      <c r="O147" s="3" t="s">
        <v>688</v>
      </c>
      <c r="P147" s="3">
        <v>3</v>
      </c>
      <c r="Q147" s="3">
        <v>0</v>
      </c>
      <c r="R147" s="10" t="s">
        <v>692</v>
      </c>
      <c r="S147" s="3" t="s">
        <v>684</v>
      </c>
    </row>
    <row r="148" spans="1:19" s="3" customFormat="1" ht="30" customHeight="1" x14ac:dyDescent="0.3">
      <c r="A148" s="4" t="s">
        <v>488</v>
      </c>
      <c r="B148" s="5" t="s">
        <v>294</v>
      </c>
      <c r="C148" s="5">
        <v>7</v>
      </c>
      <c r="D148" s="5">
        <v>11</v>
      </c>
      <c r="E148" s="5">
        <v>4</v>
      </c>
      <c r="F148" s="5">
        <v>1</v>
      </c>
      <c r="G148" s="6">
        <v>111.79094053350001</v>
      </c>
      <c r="H148" s="6">
        <v>114.5</v>
      </c>
      <c r="I148" s="7">
        <v>46119</v>
      </c>
      <c r="J148" s="5"/>
      <c r="L148" s="3">
        <v>7</v>
      </c>
      <c r="M148" s="3">
        <v>3</v>
      </c>
      <c r="O148" s="3" t="s">
        <v>688</v>
      </c>
      <c r="P148" s="3">
        <v>1</v>
      </c>
      <c r="Q148" s="3">
        <v>0</v>
      </c>
      <c r="R148" s="10" t="s">
        <v>692</v>
      </c>
      <c r="S148" s="3" t="s">
        <v>684</v>
      </c>
    </row>
    <row r="149" spans="1:19" s="3" customFormat="1" ht="30" customHeight="1" x14ac:dyDescent="0.3">
      <c r="A149" s="4" t="s">
        <v>489</v>
      </c>
      <c r="B149" s="5" t="s">
        <v>111</v>
      </c>
      <c r="C149" s="5">
        <v>0</v>
      </c>
      <c r="D149" s="5">
        <v>0</v>
      </c>
      <c r="E149" s="5">
        <v>0</v>
      </c>
      <c r="F149" s="5">
        <v>0</v>
      </c>
      <c r="G149" s="6">
        <v>765</v>
      </c>
      <c r="H149" s="6">
        <v>1530</v>
      </c>
      <c r="I149" s="7">
        <v>45790</v>
      </c>
      <c r="J149" s="5"/>
      <c r="O149" s="3" t="s">
        <v>688</v>
      </c>
      <c r="P149" s="3">
        <v>0</v>
      </c>
      <c r="Q149" s="3" t="s">
        <v>689</v>
      </c>
      <c r="R149" s="10" t="s">
        <v>689</v>
      </c>
      <c r="S149" s="3" t="s">
        <v>703</v>
      </c>
    </row>
    <row r="150" spans="1:19" s="3" customFormat="1" ht="30" customHeight="1" x14ac:dyDescent="0.3">
      <c r="A150" s="4" t="s">
        <v>490</v>
      </c>
      <c r="B150" s="5" t="s">
        <v>64</v>
      </c>
      <c r="C150" s="5">
        <v>11</v>
      </c>
      <c r="D150" s="5">
        <v>13</v>
      </c>
      <c r="E150" s="5">
        <v>2</v>
      </c>
      <c r="F150" s="5">
        <v>0</v>
      </c>
      <c r="G150" s="6">
        <v>1600</v>
      </c>
      <c r="H150" s="6">
        <v>1600</v>
      </c>
      <c r="I150" s="7">
        <v>46009</v>
      </c>
      <c r="J150" s="5"/>
      <c r="O150" s="3" t="s">
        <v>688</v>
      </c>
      <c r="P150" s="3">
        <v>0</v>
      </c>
      <c r="Q150" s="3" t="s">
        <v>689</v>
      </c>
      <c r="R150" s="10" t="s">
        <v>689</v>
      </c>
      <c r="S150" s="3" t="s">
        <v>704</v>
      </c>
    </row>
    <row r="151" spans="1:19" s="3" customFormat="1" ht="30" customHeight="1" x14ac:dyDescent="0.3">
      <c r="A151" s="4" t="s">
        <v>491</v>
      </c>
      <c r="B151" s="5" t="s">
        <v>147</v>
      </c>
      <c r="C151" s="5">
        <v>1</v>
      </c>
      <c r="D151" s="5">
        <v>2</v>
      </c>
      <c r="E151" s="5">
        <v>1</v>
      </c>
      <c r="F151" s="5">
        <v>0</v>
      </c>
      <c r="G151" s="6">
        <v>1530</v>
      </c>
      <c r="H151" s="6">
        <v>1530</v>
      </c>
      <c r="I151" s="7">
        <v>46093</v>
      </c>
      <c r="J151" s="5"/>
      <c r="O151" s="3" t="s">
        <v>688</v>
      </c>
      <c r="P151" s="3">
        <v>0</v>
      </c>
      <c r="Q151" s="3" t="s">
        <v>689</v>
      </c>
      <c r="R151" s="10" t="s">
        <v>689</v>
      </c>
      <c r="S151" s="3" t="s">
        <v>704</v>
      </c>
    </row>
    <row r="152" spans="1:19" s="3" customFormat="1" ht="30" customHeight="1" x14ac:dyDescent="0.3">
      <c r="A152" s="4" t="s">
        <v>492</v>
      </c>
      <c r="B152" s="5" t="s">
        <v>109</v>
      </c>
      <c r="C152" s="5">
        <v>6</v>
      </c>
      <c r="D152" s="5">
        <v>8</v>
      </c>
      <c r="E152" s="5">
        <v>2</v>
      </c>
      <c r="F152" s="5">
        <v>0</v>
      </c>
      <c r="G152" s="6">
        <v>1530</v>
      </c>
      <c r="H152" s="6">
        <v>1530</v>
      </c>
      <c r="I152" s="7">
        <v>45979</v>
      </c>
      <c r="J152" s="5"/>
      <c r="O152" s="3" t="s">
        <v>688</v>
      </c>
      <c r="P152" s="3">
        <v>0</v>
      </c>
      <c r="Q152" s="3" t="s">
        <v>689</v>
      </c>
      <c r="R152" s="10" t="s">
        <v>689</v>
      </c>
      <c r="S152" s="3" t="s">
        <v>704</v>
      </c>
    </row>
    <row r="153" spans="1:19" s="3" customFormat="1" ht="30" customHeight="1" x14ac:dyDescent="0.3">
      <c r="A153" s="4" t="s">
        <v>493</v>
      </c>
      <c r="B153" s="5" t="s">
        <v>87</v>
      </c>
      <c r="C153" s="5">
        <v>0</v>
      </c>
      <c r="D153" s="5">
        <v>0</v>
      </c>
      <c r="E153" s="5">
        <v>0</v>
      </c>
      <c r="F153" s="5">
        <v>2</v>
      </c>
      <c r="G153" s="6">
        <v>1530</v>
      </c>
      <c r="H153" s="6">
        <v>1530</v>
      </c>
      <c r="I153" s="7">
        <v>46052</v>
      </c>
      <c r="J153" s="5"/>
      <c r="L153" s="3">
        <v>0</v>
      </c>
      <c r="M153" s="3">
        <v>6</v>
      </c>
      <c r="O153" s="3" t="s">
        <v>688</v>
      </c>
      <c r="P153" s="3">
        <v>2</v>
      </c>
      <c r="Q153" s="3">
        <v>8</v>
      </c>
      <c r="R153" s="10" t="s">
        <v>692</v>
      </c>
      <c r="S153" s="3" t="s">
        <v>687</v>
      </c>
    </row>
    <row r="154" spans="1:19" s="3" customFormat="1" ht="30" customHeight="1" x14ac:dyDescent="0.3">
      <c r="A154" s="4" t="s">
        <v>494</v>
      </c>
      <c r="B154" s="5" t="s">
        <v>150</v>
      </c>
      <c r="C154" s="5">
        <v>1</v>
      </c>
      <c r="D154" s="5">
        <v>1</v>
      </c>
      <c r="E154" s="5">
        <v>0</v>
      </c>
      <c r="F154" s="5">
        <v>3</v>
      </c>
      <c r="G154" s="6">
        <v>1593.5142857154001</v>
      </c>
      <c r="H154" s="6">
        <v>1600</v>
      </c>
      <c r="I154" s="7">
        <v>46010</v>
      </c>
      <c r="J154" s="5"/>
      <c r="L154" s="3">
        <v>0.3</v>
      </c>
      <c r="M154" s="3">
        <v>9</v>
      </c>
      <c r="O154" s="3" t="s">
        <v>688</v>
      </c>
      <c r="P154" s="3">
        <v>3</v>
      </c>
      <c r="Q154" s="3">
        <v>12</v>
      </c>
      <c r="R154" s="10" t="s">
        <v>692</v>
      </c>
      <c r="S154" s="3" t="s">
        <v>687</v>
      </c>
    </row>
    <row r="155" spans="1:19" s="3" customFormat="1" ht="30" customHeight="1" x14ac:dyDescent="0.3">
      <c r="A155" s="4" t="s">
        <v>495</v>
      </c>
      <c r="B155" s="5" t="s">
        <v>297</v>
      </c>
      <c r="C155" s="5">
        <v>7</v>
      </c>
      <c r="D155" s="5">
        <v>11</v>
      </c>
      <c r="E155" s="5">
        <v>4</v>
      </c>
      <c r="F155" s="5">
        <v>2</v>
      </c>
      <c r="G155" s="6">
        <v>1939.9521629880001</v>
      </c>
      <c r="H155" s="6">
        <v>2050</v>
      </c>
      <c r="I155" s="7">
        <v>46135</v>
      </c>
      <c r="J155" s="5"/>
      <c r="L155" s="3">
        <v>3.5</v>
      </c>
      <c r="M155" s="3">
        <v>6</v>
      </c>
      <c r="O155" s="3" t="s">
        <v>688</v>
      </c>
      <c r="P155" s="3">
        <v>2</v>
      </c>
      <c r="Q155" s="3">
        <v>0</v>
      </c>
      <c r="R155" s="10" t="s">
        <v>692</v>
      </c>
      <c r="S155" s="3" t="s">
        <v>684</v>
      </c>
    </row>
    <row r="156" spans="1:19" s="3" customFormat="1" ht="30" customHeight="1" x14ac:dyDescent="0.3">
      <c r="A156" s="4" t="s">
        <v>496</v>
      </c>
      <c r="B156" s="5" t="s">
        <v>309</v>
      </c>
      <c r="C156" s="5">
        <v>9</v>
      </c>
      <c r="D156" s="5">
        <v>14</v>
      </c>
      <c r="E156" s="5">
        <v>5</v>
      </c>
      <c r="F156" s="5">
        <v>1</v>
      </c>
      <c r="G156" s="6">
        <v>105.4037698413</v>
      </c>
      <c r="H156" s="6">
        <v>110</v>
      </c>
      <c r="I156" s="7">
        <v>46072</v>
      </c>
      <c r="J156" s="5"/>
      <c r="L156" s="3">
        <v>9</v>
      </c>
      <c r="M156" s="3">
        <v>3</v>
      </c>
      <c r="O156" s="3" t="s">
        <v>688</v>
      </c>
      <c r="P156" s="3">
        <v>1</v>
      </c>
      <c r="Q156" s="3">
        <v>0</v>
      </c>
      <c r="R156" s="10" t="s">
        <v>692</v>
      </c>
      <c r="S156" s="3" t="s">
        <v>684</v>
      </c>
    </row>
    <row r="157" spans="1:19" s="3" customFormat="1" ht="30" customHeight="1" x14ac:dyDescent="0.3">
      <c r="A157" s="4" t="s">
        <v>497</v>
      </c>
      <c r="B157" s="5" t="s">
        <v>269</v>
      </c>
      <c r="C157" s="5">
        <v>39</v>
      </c>
      <c r="D157" s="5">
        <v>58</v>
      </c>
      <c r="E157" s="5">
        <v>19</v>
      </c>
      <c r="F157" s="5">
        <v>8</v>
      </c>
      <c r="G157" s="6">
        <v>79.771987731600007</v>
      </c>
      <c r="H157" s="6">
        <v>78.849999999999994</v>
      </c>
      <c r="I157" s="7">
        <v>46066</v>
      </c>
      <c r="J157" s="5"/>
      <c r="L157" s="3">
        <v>4.9000000000000004</v>
      </c>
      <c r="M157" s="3">
        <v>24</v>
      </c>
      <c r="O157" s="3" t="s">
        <v>688</v>
      </c>
      <c r="P157" s="3">
        <v>8</v>
      </c>
      <c r="Q157" s="3">
        <v>0</v>
      </c>
      <c r="R157" s="10" t="s">
        <v>692</v>
      </c>
      <c r="S157" s="3" t="s">
        <v>684</v>
      </c>
    </row>
    <row r="158" spans="1:19" s="3" customFormat="1" ht="30" customHeight="1" x14ac:dyDescent="0.3">
      <c r="A158" s="4" t="s">
        <v>498</v>
      </c>
      <c r="B158" s="5" t="s">
        <v>228</v>
      </c>
      <c r="C158" s="5">
        <v>67</v>
      </c>
      <c r="D158" s="5">
        <v>78</v>
      </c>
      <c r="E158" s="5">
        <v>11</v>
      </c>
      <c r="F158" s="5">
        <v>13</v>
      </c>
      <c r="G158" s="6">
        <v>109.59901144219999</v>
      </c>
      <c r="H158" s="6">
        <v>110.87</v>
      </c>
      <c r="I158" s="7">
        <v>46094</v>
      </c>
      <c r="J158" s="5"/>
      <c r="L158" s="3">
        <v>5.2</v>
      </c>
      <c r="M158" s="3">
        <v>39</v>
      </c>
      <c r="O158" s="3" t="s">
        <v>688</v>
      </c>
      <c r="P158" s="3">
        <v>13</v>
      </c>
      <c r="Q158" s="3">
        <v>0</v>
      </c>
      <c r="R158" s="10" t="s">
        <v>692</v>
      </c>
      <c r="S158" s="3" t="s">
        <v>684</v>
      </c>
    </row>
    <row r="159" spans="1:19" s="3" customFormat="1" ht="30" customHeight="1" x14ac:dyDescent="0.3">
      <c r="A159" s="4" t="s">
        <v>499</v>
      </c>
      <c r="B159" s="5" t="s">
        <v>55</v>
      </c>
      <c r="C159" s="5">
        <v>0</v>
      </c>
      <c r="D159" s="5">
        <v>0</v>
      </c>
      <c r="E159" s="5">
        <v>0</v>
      </c>
      <c r="F159" s="5">
        <v>0</v>
      </c>
      <c r="G159" s="6">
        <v>952</v>
      </c>
      <c r="H159" s="6">
        <v>90</v>
      </c>
      <c r="I159" s="7">
        <v>45092</v>
      </c>
      <c r="J159" s="5"/>
      <c r="O159" s="3" t="s">
        <v>688</v>
      </c>
      <c r="P159" s="3">
        <v>0</v>
      </c>
      <c r="Q159" s="3" t="s">
        <v>689</v>
      </c>
      <c r="R159" s="10" t="s">
        <v>689</v>
      </c>
      <c r="S159" s="3" t="s">
        <v>703</v>
      </c>
    </row>
    <row r="160" spans="1:19" s="3" customFormat="1" ht="30" customHeight="1" x14ac:dyDescent="0.3">
      <c r="A160" s="4" t="s">
        <v>500</v>
      </c>
      <c r="B160" s="5" t="s">
        <v>57</v>
      </c>
      <c r="C160" s="5">
        <v>0</v>
      </c>
      <c r="D160" s="5">
        <v>0</v>
      </c>
      <c r="E160" s="5">
        <v>0</v>
      </c>
      <c r="F160" s="5">
        <v>0</v>
      </c>
      <c r="G160" s="6">
        <v>90</v>
      </c>
      <c r="H160" s="6">
        <v>90</v>
      </c>
      <c r="I160" s="7">
        <v>45092</v>
      </c>
      <c r="J160" s="5"/>
      <c r="O160" s="3" t="s">
        <v>688</v>
      </c>
      <c r="P160" s="3">
        <v>0</v>
      </c>
      <c r="Q160" s="3" t="s">
        <v>689</v>
      </c>
      <c r="R160" s="10" t="s">
        <v>689</v>
      </c>
      <c r="S160" s="3" t="s">
        <v>703</v>
      </c>
    </row>
    <row r="161" spans="1:19" s="3" customFormat="1" ht="30" customHeight="1" x14ac:dyDescent="0.3">
      <c r="A161" s="4" t="s">
        <v>501</v>
      </c>
      <c r="B161" s="5" t="s">
        <v>43</v>
      </c>
      <c r="C161" s="5">
        <v>0</v>
      </c>
      <c r="D161" s="5">
        <v>1</v>
      </c>
      <c r="E161" s="5">
        <v>1</v>
      </c>
      <c r="F161" s="5">
        <v>0</v>
      </c>
      <c r="G161" s="6">
        <v>61.33</v>
      </c>
      <c r="H161" s="6">
        <v>61.33</v>
      </c>
      <c r="I161" s="7">
        <v>45441</v>
      </c>
      <c r="J161" s="5"/>
      <c r="O161" s="3" t="s">
        <v>688</v>
      </c>
      <c r="P161" s="3">
        <v>0</v>
      </c>
      <c r="Q161" s="3" t="s">
        <v>689</v>
      </c>
      <c r="R161" s="10" t="s">
        <v>689</v>
      </c>
      <c r="S161" s="3" t="s">
        <v>703</v>
      </c>
    </row>
    <row r="162" spans="1:19" s="3" customFormat="1" ht="30" customHeight="1" x14ac:dyDescent="0.3">
      <c r="A162" s="4" t="s">
        <v>502</v>
      </c>
      <c r="B162" s="5" t="s">
        <v>289</v>
      </c>
      <c r="C162" s="5">
        <v>9</v>
      </c>
      <c r="D162" s="5">
        <v>10</v>
      </c>
      <c r="E162" s="5">
        <v>1</v>
      </c>
      <c r="F162" s="5">
        <v>0</v>
      </c>
      <c r="G162" s="6">
        <v>74.138958329900007</v>
      </c>
      <c r="H162" s="6">
        <v>3499</v>
      </c>
      <c r="I162" s="7">
        <v>46100</v>
      </c>
      <c r="J162" s="5"/>
      <c r="O162" s="3" t="s">
        <v>688</v>
      </c>
      <c r="P162" s="3">
        <v>0</v>
      </c>
      <c r="Q162" s="3" t="s">
        <v>689</v>
      </c>
      <c r="R162" s="10" t="s">
        <v>689</v>
      </c>
      <c r="S162" s="3" t="s">
        <v>704</v>
      </c>
    </row>
    <row r="163" spans="1:19" s="3" customFormat="1" ht="30" customHeight="1" x14ac:dyDescent="0.3">
      <c r="A163" s="4" t="s">
        <v>503</v>
      </c>
      <c r="B163" s="5" t="s">
        <v>232</v>
      </c>
      <c r="C163" s="5">
        <v>96</v>
      </c>
      <c r="D163" s="5">
        <v>116</v>
      </c>
      <c r="E163" s="5">
        <v>20</v>
      </c>
      <c r="F163" s="5">
        <v>20</v>
      </c>
      <c r="G163" s="6">
        <v>51.209019101300001</v>
      </c>
      <c r="H163" s="6">
        <v>50.28</v>
      </c>
      <c r="I163" s="7">
        <v>46097</v>
      </c>
      <c r="J163" s="5"/>
      <c r="L163" s="3">
        <v>4.8</v>
      </c>
      <c r="M163" s="3">
        <v>60</v>
      </c>
      <c r="O163" s="3" t="s">
        <v>688</v>
      </c>
      <c r="P163" s="3">
        <v>20</v>
      </c>
      <c r="Q163" s="3">
        <v>0</v>
      </c>
      <c r="R163" s="10" t="s">
        <v>692</v>
      </c>
      <c r="S163" s="3" t="s">
        <v>684</v>
      </c>
    </row>
    <row r="164" spans="1:19" s="3" customFormat="1" ht="30" customHeight="1" x14ac:dyDescent="0.3">
      <c r="A164" s="4" t="s">
        <v>504</v>
      </c>
      <c r="B164" s="5" t="s">
        <v>240</v>
      </c>
      <c r="C164" s="5">
        <v>90</v>
      </c>
      <c r="D164" s="5">
        <v>113</v>
      </c>
      <c r="E164" s="5">
        <v>23</v>
      </c>
      <c r="F164" s="5">
        <v>22</v>
      </c>
      <c r="G164" s="6">
        <v>54.156977858099999</v>
      </c>
      <c r="H164" s="6">
        <v>50.27</v>
      </c>
      <c r="I164" s="7">
        <v>46066</v>
      </c>
      <c r="J164" s="5"/>
      <c r="L164" s="3">
        <v>4.0999999999999996</v>
      </c>
      <c r="M164" s="3">
        <v>66</v>
      </c>
      <c r="O164" s="3" t="s">
        <v>688</v>
      </c>
      <c r="P164" s="3">
        <v>22</v>
      </c>
      <c r="Q164" s="3">
        <v>0</v>
      </c>
      <c r="R164" s="10" t="s">
        <v>692</v>
      </c>
      <c r="S164" s="3" t="s">
        <v>684</v>
      </c>
    </row>
    <row r="165" spans="1:19" s="3" customFormat="1" ht="30" customHeight="1" x14ac:dyDescent="0.3">
      <c r="A165" s="4" t="s">
        <v>505</v>
      </c>
      <c r="B165" s="5" t="s">
        <v>167</v>
      </c>
      <c r="C165" s="5">
        <v>249</v>
      </c>
      <c r="D165" s="5">
        <v>323</v>
      </c>
      <c r="E165" s="5">
        <v>74</v>
      </c>
      <c r="F165" s="5">
        <v>139</v>
      </c>
      <c r="G165" s="6">
        <v>33.652813044799998</v>
      </c>
      <c r="H165" s="6">
        <v>33.79</v>
      </c>
      <c r="I165" s="7">
        <v>46076</v>
      </c>
      <c r="J165" s="5"/>
      <c r="L165" s="3">
        <v>1.8</v>
      </c>
      <c r="M165" s="3">
        <v>417</v>
      </c>
      <c r="O165" s="3" t="s">
        <v>688</v>
      </c>
      <c r="P165" s="3">
        <v>139</v>
      </c>
      <c r="Q165" s="3">
        <v>306</v>
      </c>
      <c r="R165" s="10" t="s">
        <v>692</v>
      </c>
      <c r="S165" s="3" t="s">
        <v>686</v>
      </c>
    </row>
    <row r="166" spans="1:19" s="3" customFormat="1" ht="30" customHeight="1" x14ac:dyDescent="0.3">
      <c r="A166" s="4" t="s">
        <v>506</v>
      </c>
      <c r="B166" s="5" t="s">
        <v>313</v>
      </c>
      <c r="C166" s="5">
        <v>40</v>
      </c>
      <c r="D166" s="5">
        <v>46</v>
      </c>
      <c r="E166" s="5">
        <v>6</v>
      </c>
      <c r="F166" s="5">
        <v>3</v>
      </c>
      <c r="G166" s="6">
        <v>539.34422361750001</v>
      </c>
      <c r="H166" s="6">
        <v>540.23</v>
      </c>
      <c r="I166" s="7">
        <v>46085</v>
      </c>
      <c r="J166" s="5"/>
      <c r="L166" s="3">
        <v>13.3</v>
      </c>
      <c r="M166" s="3">
        <v>9</v>
      </c>
      <c r="O166" s="3" t="s">
        <v>688</v>
      </c>
      <c r="P166" s="3">
        <v>3</v>
      </c>
      <c r="Q166" s="3">
        <v>0</v>
      </c>
      <c r="R166" s="10" t="s">
        <v>692</v>
      </c>
      <c r="S166" s="3" t="s">
        <v>684</v>
      </c>
    </row>
    <row r="167" spans="1:19" s="3" customFormat="1" ht="30" customHeight="1" x14ac:dyDescent="0.3">
      <c r="A167" s="4" t="s">
        <v>507</v>
      </c>
      <c r="B167" s="5" t="s">
        <v>285</v>
      </c>
      <c r="C167" s="5">
        <v>7</v>
      </c>
      <c r="D167" s="5">
        <v>10</v>
      </c>
      <c r="E167" s="5">
        <v>3</v>
      </c>
      <c r="F167" s="5">
        <v>1</v>
      </c>
      <c r="G167" s="6">
        <v>188.8784444451</v>
      </c>
      <c r="H167" s="6">
        <v>188.99</v>
      </c>
      <c r="I167" s="7">
        <v>46135</v>
      </c>
      <c r="J167" s="5"/>
      <c r="L167" s="3">
        <v>7</v>
      </c>
      <c r="M167" s="3">
        <v>3</v>
      </c>
      <c r="O167" s="3" t="s">
        <v>688</v>
      </c>
      <c r="P167" s="3">
        <v>1</v>
      </c>
      <c r="Q167" s="3">
        <v>0</v>
      </c>
      <c r="R167" s="10" t="s">
        <v>692</v>
      </c>
      <c r="S167" s="3" t="s">
        <v>684</v>
      </c>
    </row>
    <row r="168" spans="1:19" s="3" customFormat="1" ht="30" customHeight="1" x14ac:dyDescent="0.3">
      <c r="A168" s="4" t="s">
        <v>508</v>
      </c>
      <c r="B168" s="5" t="s">
        <v>27</v>
      </c>
      <c r="C168" s="5">
        <v>13</v>
      </c>
      <c r="D168" s="5">
        <v>15</v>
      </c>
      <c r="E168" s="5">
        <v>2</v>
      </c>
      <c r="F168" s="5">
        <v>0</v>
      </c>
      <c r="G168" s="6">
        <v>74.152179545300001</v>
      </c>
      <c r="H168" s="6">
        <v>81.599999999999994</v>
      </c>
      <c r="I168" s="7">
        <v>45628</v>
      </c>
      <c r="J168" s="5"/>
      <c r="O168" s="3" t="s">
        <v>688</v>
      </c>
      <c r="P168" s="3">
        <v>0</v>
      </c>
      <c r="Q168" s="3" t="s">
        <v>689</v>
      </c>
      <c r="R168" s="10" t="s">
        <v>689</v>
      </c>
      <c r="S168" s="3" t="s">
        <v>704</v>
      </c>
    </row>
    <row r="169" spans="1:19" s="3" customFormat="1" ht="30" customHeight="1" x14ac:dyDescent="0.3">
      <c r="A169" s="4" t="s">
        <v>509</v>
      </c>
      <c r="B169" s="5" t="s">
        <v>11</v>
      </c>
      <c r="C169" s="5">
        <v>10</v>
      </c>
      <c r="D169" s="5">
        <v>12</v>
      </c>
      <c r="E169" s="5">
        <v>2</v>
      </c>
      <c r="F169" s="5">
        <v>0</v>
      </c>
      <c r="G169" s="6">
        <v>265.57269119770001</v>
      </c>
      <c r="H169" s="6">
        <v>299.89999999999998</v>
      </c>
      <c r="I169" s="7">
        <v>45877</v>
      </c>
      <c r="J169" s="5"/>
      <c r="O169" s="3" t="s">
        <v>688</v>
      </c>
      <c r="P169" s="3">
        <v>0</v>
      </c>
      <c r="Q169" s="3" t="s">
        <v>689</v>
      </c>
      <c r="R169" s="10" t="s">
        <v>689</v>
      </c>
      <c r="S169" s="3" t="s">
        <v>704</v>
      </c>
    </row>
    <row r="170" spans="1:19" s="3" customFormat="1" ht="30" customHeight="1" x14ac:dyDescent="0.3">
      <c r="A170" s="4" t="s">
        <v>510</v>
      </c>
      <c r="B170" s="5" t="s">
        <v>35</v>
      </c>
      <c r="C170" s="5">
        <v>7</v>
      </c>
      <c r="D170" s="5">
        <v>9</v>
      </c>
      <c r="E170" s="5">
        <v>2</v>
      </c>
      <c r="F170" s="5">
        <v>0</v>
      </c>
      <c r="G170" s="6">
        <v>433.99</v>
      </c>
      <c r="H170" s="6">
        <v>433.99</v>
      </c>
      <c r="I170" s="7">
        <v>45622</v>
      </c>
      <c r="J170" s="5"/>
      <c r="O170" s="3" t="s">
        <v>688</v>
      </c>
      <c r="P170" s="3">
        <v>0</v>
      </c>
      <c r="Q170" s="3" t="s">
        <v>689</v>
      </c>
      <c r="R170" s="10" t="s">
        <v>689</v>
      </c>
      <c r="S170" s="3" t="s">
        <v>704</v>
      </c>
    </row>
    <row r="171" spans="1:19" s="3" customFormat="1" ht="30" customHeight="1" x14ac:dyDescent="0.3">
      <c r="A171" s="4" t="s">
        <v>511</v>
      </c>
      <c r="B171" s="5" t="s">
        <v>67</v>
      </c>
      <c r="C171" s="5">
        <v>0</v>
      </c>
      <c r="D171" s="5">
        <v>0</v>
      </c>
      <c r="E171" s="5">
        <v>0</v>
      </c>
      <c r="F171" s="5">
        <v>0</v>
      </c>
      <c r="G171" s="6">
        <v>593.99</v>
      </c>
      <c r="H171" s="6">
        <v>593.99</v>
      </c>
      <c r="I171" s="7">
        <v>45695</v>
      </c>
      <c r="J171" s="5"/>
      <c r="O171" s="3" t="s">
        <v>688</v>
      </c>
      <c r="P171" s="3">
        <v>0</v>
      </c>
      <c r="Q171" s="3" t="s">
        <v>689</v>
      </c>
      <c r="R171" s="10" t="s">
        <v>689</v>
      </c>
      <c r="S171" s="3" t="s">
        <v>703</v>
      </c>
    </row>
    <row r="172" spans="1:19" s="3" customFormat="1" ht="30" customHeight="1" x14ac:dyDescent="0.3">
      <c r="A172" s="4" t="s">
        <v>512</v>
      </c>
      <c r="B172" s="5" t="s">
        <v>44</v>
      </c>
      <c r="C172" s="5">
        <v>0</v>
      </c>
      <c r="D172" s="5">
        <v>0</v>
      </c>
      <c r="E172" s="5">
        <v>0</v>
      </c>
      <c r="F172" s="5">
        <v>0</v>
      </c>
      <c r="G172" s="6">
        <v>593.99</v>
      </c>
      <c r="H172" s="6">
        <v>593.99</v>
      </c>
      <c r="I172" s="7">
        <v>45818</v>
      </c>
      <c r="J172" s="5"/>
      <c r="O172" s="3" t="s">
        <v>688</v>
      </c>
      <c r="P172" s="3">
        <v>0</v>
      </c>
      <c r="Q172" s="3" t="s">
        <v>689</v>
      </c>
      <c r="R172" s="10" t="s">
        <v>689</v>
      </c>
      <c r="S172" s="3" t="s">
        <v>703</v>
      </c>
    </row>
    <row r="173" spans="1:19" s="3" customFormat="1" ht="30" customHeight="1" x14ac:dyDescent="0.3">
      <c r="A173" s="4" t="s">
        <v>513</v>
      </c>
      <c r="B173" s="5" t="s">
        <v>117</v>
      </c>
      <c r="C173" s="5">
        <v>0</v>
      </c>
      <c r="D173" s="5">
        <v>0</v>
      </c>
      <c r="E173" s="5">
        <v>0</v>
      </c>
      <c r="F173" s="5">
        <v>0</v>
      </c>
      <c r="G173" s="6">
        <v>3434.18</v>
      </c>
      <c r="H173" s="6">
        <v>3434.18</v>
      </c>
      <c r="I173" s="7">
        <v>45351</v>
      </c>
      <c r="J173" s="5"/>
      <c r="O173" s="3" t="s">
        <v>688</v>
      </c>
      <c r="P173" s="3">
        <v>0</v>
      </c>
      <c r="Q173" s="3" t="s">
        <v>689</v>
      </c>
      <c r="R173" s="10" t="s">
        <v>689</v>
      </c>
      <c r="S173" s="3" t="s">
        <v>703</v>
      </c>
    </row>
    <row r="174" spans="1:19" s="3" customFormat="1" ht="30" customHeight="1" x14ac:dyDescent="0.3">
      <c r="A174" s="4" t="s">
        <v>514</v>
      </c>
      <c r="B174" s="5" t="s">
        <v>45</v>
      </c>
      <c r="C174" s="5">
        <v>0</v>
      </c>
      <c r="D174" s="5">
        <v>0</v>
      </c>
      <c r="E174" s="5">
        <v>0</v>
      </c>
      <c r="F174" s="5">
        <v>0</v>
      </c>
      <c r="G174" s="6">
        <v>223.5</v>
      </c>
      <c r="H174" s="6">
        <v>223.5</v>
      </c>
      <c r="I174" s="7">
        <v>44832</v>
      </c>
      <c r="J174" s="5"/>
      <c r="O174" s="3" t="s">
        <v>688</v>
      </c>
      <c r="P174" s="3">
        <v>0</v>
      </c>
      <c r="Q174" s="3" t="s">
        <v>689</v>
      </c>
      <c r="R174" s="10" t="s">
        <v>689</v>
      </c>
      <c r="S174" s="3" t="s">
        <v>703</v>
      </c>
    </row>
    <row r="175" spans="1:19" s="3" customFormat="1" ht="30" customHeight="1" x14ac:dyDescent="0.3">
      <c r="A175" s="4" t="s">
        <v>515</v>
      </c>
      <c r="B175" s="5" t="s">
        <v>191</v>
      </c>
      <c r="C175" s="5">
        <v>5</v>
      </c>
      <c r="D175" s="5">
        <v>7</v>
      </c>
      <c r="E175" s="5">
        <v>2</v>
      </c>
      <c r="F175" s="5">
        <v>1</v>
      </c>
      <c r="G175" s="6">
        <v>950</v>
      </c>
      <c r="H175" s="6">
        <v>950</v>
      </c>
      <c r="I175" s="7">
        <v>46107</v>
      </c>
      <c r="J175" s="5"/>
      <c r="L175" s="3">
        <v>5</v>
      </c>
      <c r="M175" s="3">
        <v>3</v>
      </c>
      <c r="O175" s="3" t="s">
        <v>688</v>
      </c>
      <c r="P175" s="3">
        <v>1</v>
      </c>
      <c r="Q175" s="3">
        <v>0</v>
      </c>
      <c r="R175" s="10" t="s">
        <v>692</v>
      </c>
      <c r="S175" s="3" t="s">
        <v>684</v>
      </c>
    </row>
    <row r="176" spans="1:19" s="3" customFormat="1" ht="30" customHeight="1" x14ac:dyDescent="0.3">
      <c r="A176" s="4" t="s">
        <v>516</v>
      </c>
      <c r="B176" s="5" t="s">
        <v>30</v>
      </c>
      <c r="C176" s="5">
        <v>5</v>
      </c>
      <c r="D176" s="5">
        <v>5</v>
      </c>
      <c r="E176" s="5">
        <v>0</v>
      </c>
      <c r="F176" s="5">
        <v>0</v>
      </c>
      <c r="G176" s="6">
        <v>844</v>
      </c>
      <c r="H176" s="6">
        <v>844</v>
      </c>
      <c r="I176" s="7">
        <v>46127</v>
      </c>
      <c r="J176" s="5"/>
      <c r="O176" s="3" t="s">
        <v>688</v>
      </c>
      <c r="P176" s="3">
        <v>0</v>
      </c>
      <c r="Q176" s="3" t="s">
        <v>689</v>
      </c>
      <c r="R176" s="10" t="s">
        <v>689</v>
      </c>
      <c r="S176" s="3" t="s">
        <v>704</v>
      </c>
    </row>
    <row r="177" spans="1:19" s="3" customFormat="1" ht="30" customHeight="1" x14ac:dyDescent="0.3">
      <c r="A177" s="4" t="s">
        <v>517</v>
      </c>
      <c r="B177" s="5" t="s">
        <v>76</v>
      </c>
      <c r="C177" s="5">
        <v>0</v>
      </c>
      <c r="D177" s="5">
        <v>0</v>
      </c>
      <c r="E177" s="5">
        <v>0</v>
      </c>
      <c r="F177" s="5">
        <v>0</v>
      </c>
      <c r="G177" s="6">
        <v>116.1142857143</v>
      </c>
      <c r="H177" s="6">
        <v>118.8</v>
      </c>
      <c r="I177" s="7">
        <v>45028</v>
      </c>
      <c r="J177" s="5"/>
      <c r="O177" s="3" t="s">
        <v>688</v>
      </c>
      <c r="P177" s="3">
        <v>0</v>
      </c>
      <c r="Q177" s="3" t="s">
        <v>689</v>
      </c>
      <c r="R177" s="10" t="s">
        <v>689</v>
      </c>
      <c r="S177" s="3" t="s">
        <v>703</v>
      </c>
    </row>
    <row r="178" spans="1:19" s="3" customFormat="1" ht="30" customHeight="1" x14ac:dyDescent="0.3">
      <c r="A178" s="4" t="s">
        <v>518</v>
      </c>
      <c r="B178" s="5" t="s">
        <v>177</v>
      </c>
      <c r="C178" s="5">
        <v>151</v>
      </c>
      <c r="D178" s="5">
        <v>155</v>
      </c>
      <c r="E178" s="5">
        <v>4</v>
      </c>
      <c r="F178" s="5">
        <v>49</v>
      </c>
      <c r="G178" s="6">
        <v>2967.5586771851999</v>
      </c>
      <c r="H178" s="6">
        <v>2970</v>
      </c>
      <c r="I178" s="7">
        <v>46141</v>
      </c>
      <c r="J178" s="5"/>
      <c r="L178" s="3">
        <v>3.1</v>
      </c>
      <c r="M178" s="3">
        <v>147</v>
      </c>
      <c r="O178" s="3" t="s">
        <v>688</v>
      </c>
      <c r="P178" s="3">
        <v>49</v>
      </c>
      <c r="Q178" s="3">
        <v>0</v>
      </c>
      <c r="R178" s="10" t="s">
        <v>692</v>
      </c>
      <c r="S178" s="3" t="s">
        <v>684</v>
      </c>
    </row>
    <row r="179" spans="1:19" s="3" customFormat="1" ht="30" customHeight="1" x14ac:dyDescent="0.3">
      <c r="A179" s="4" t="s">
        <v>519</v>
      </c>
      <c r="B179" s="5" t="s">
        <v>185</v>
      </c>
      <c r="C179" s="5">
        <v>99</v>
      </c>
      <c r="D179" s="5">
        <v>125</v>
      </c>
      <c r="E179" s="5">
        <v>26</v>
      </c>
      <c r="F179" s="5">
        <v>39</v>
      </c>
      <c r="G179" s="6">
        <v>2874.3857064845001</v>
      </c>
      <c r="H179" s="6">
        <v>2965</v>
      </c>
      <c r="I179" s="7">
        <v>46141</v>
      </c>
      <c r="J179" s="5"/>
      <c r="L179" s="3">
        <v>2.5</v>
      </c>
      <c r="M179" s="3">
        <v>117</v>
      </c>
      <c r="O179" s="3" t="s">
        <v>688</v>
      </c>
      <c r="P179" s="3">
        <v>39</v>
      </c>
      <c r="Q179" s="3">
        <v>59</v>
      </c>
      <c r="R179" s="10" t="s">
        <v>692</v>
      </c>
      <c r="S179" s="3" t="s">
        <v>686</v>
      </c>
    </row>
    <row r="180" spans="1:19" s="3" customFormat="1" ht="30" customHeight="1" x14ac:dyDescent="0.3">
      <c r="A180" s="4" t="s">
        <v>520</v>
      </c>
      <c r="B180" s="5" t="s">
        <v>53</v>
      </c>
      <c r="C180" s="5">
        <v>2</v>
      </c>
      <c r="D180" s="5">
        <v>8</v>
      </c>
      <c r="E180" s="5">
        <v>6</v>
      </c>
      <c r="F180" s="5">
        <v>0</v>
      </c>
      <c r="G180" s="6">
        <v>2504.7167307697</v>
      </c>
      <c r="H180" s="6">
        <v>3305.85</v>
      </c>
      <c r="I180" s="7">
        <v>45992</v>
      </c>
      <c r="J180" s="5"/>
      <c r="O180" s="3" t="s">
        <v>688</v>
      </c>
      <c r="P180" s="3">
        <v>0</v>
      </c>
      <c r="Q180" s="3" t="s">
        <v>689</v>
      </c>
      <c r="R180" s="10" t="s">
        <v>689</v>
      </c>
      <c r="S180" s="3" t="s">
        <v>704</v>
      </c>
    </row>
    <row r="181" spans="1:19" s="3" customFormat="1" ht="30" customHeight="1" x14ac:dyDescent="0.3">
      <c r="A181" s="4" t="s">
        <v>521</v>
      </c>
      <c r="B181" s="5" t="s">
        <v>14</v>
      </c>
      <c r="C181" s="5">
        <v>7</v>
      </c>
      <c r="D181" s="5">
        <v>9</v>
      </c>
      <c r="E181" s="5">
        <v>2</v>
      </c>
      <c r="F181" s="5">
        <v>0</v>
      </c>
      <c r="G181" s="6">
        <v>3304.4086099264</v>
      </c>
      <c r="H181" s="6">
        <v>3305.85</v>
      </c>
      <c r="I181" s="7">
        <v>45932</v>
      </c>
      <c r="J181" s="5"/>
      <c r="O181" s="3" t="s">
        <v>688</v>
      </c>
      <c r="P181" s="3">
        <v>0</v>
      </c>
      <c r="Q181" s="3" t="s">
        <v>689</v>
      </c>
      <c r="R181" s="10" t="s">
        <v>689</v>
      </c>
      <c r="S181" s="3" t="s">
        <v>704</v>
      </c>
    </row>
    <row r="182" spans="1:19" s="3" customFormat="1" ht="30" customHeight="1" x14ac:dyDescent="0.3">
      <c r="A182" s="4" t="s">
        <v>522</v>
      </c>
      <c r="B182" s="5" t="s">
        <v>91</v>
      </c>
      <c r="C182" s="5">
        <v>0</v>
      </c>
      <c r="D182" s="5">
        <v>0</v>
      </c>
      <c r="E182" s="5">
        <v>0</v>
      </c>
      <c r="F182" s="5">
        <v>0</v>
      </c>
      <c r="G182" s="6">
        <v>3390</v>
      </c>
      <c r="H182" s="6">
        <v>3390</v>
      </c>
      <c r="I182" s="7">
        <v>46086</v>
      </c>
      <c r="J182" s="5"/>
      <c r="O182" s="3" t="s">
        <v>688</v>
      </c>
      <c r="P182" s="3">
        <v>0</v>
      </c>
      <c r="Q182" s="3" t="s">
        <v>689</v>
      </c>
      <c r="R182" s="10" t="s">
        <v>689</v>
      </c>
      <c r="S182" s="3" t="s">
        <v>703</v>
      </c>
    </row>
    <row r="183" spans="1:19" s="3" customFormat="1" ht="30" customHeight="1" x14ac:dyDescent="0.3">
      <c r="A183" s="4" t="s">
        <v>523</v>
      </c>
      <c r="B183" s="5" t="s">
        <v>102</v>
      </c>
      <c r="C183" s="5">
        <v>0</v>
      </c>
      <c r="D183" s="5">
        <v>0</v>
      </c>
      <c r="E183" s="5">
        <v>0</v>
      </c>
      <c r="F183" s="5">
        <v>0</v>
      </c>
      <c r="G183" s="6">
        <v>3279</v>
      </c>
      <c r="H183" s="6">
        <v>3279</v>
      </c>
      <c r="I183" s="7">
        <v>45926</v>
      </c>
      <c r="J183" s="5"/>
      <c r="O183" s="3" t="s">
        <v>688</v>
      </c>
      <c r="P183" s="3">
        <v>0</v>
      </c>
      <c r="Q183" s="3" t="s">
        <v>689</v>
      </c>
      <c r="R183" s="10" t="s">
        <v>689</v>
      </c>
      <c r="S183" s="3" t="s">
        <v>703</v>
      </c>
    </row>
    <row r="184" spans="1:19" s="3" customFormat="1" ht="30" customHeight="1" x14ac:dyDescent="0.3">
      <c r="A184" s="4" t="s">
        <v>524</v>
      </c>
      <c r="B184" s="5" t="s">
        <v>268</v>
      </c>
      <c r="C184" s="5">
        <v>68</v>
      </c>
      <c r="D184" s="5">
        <v>72</v>
      </c>
      <c r="E184" s="5">
        <v>4</v>
      </c>
      <c r="F184" s="5">
        <v>9</v>
      </c>
      <c r="G184" s="6">
        <v>3302.6151516908999</v>
      </c>
      <c r="H184" s="6">
        <v>3305.85</v>
      </c>
      <c r="I184" s="7">
        <v>46125</v>
      </c>
      <c r="J184" s="5"/>
      <c r="L184" s="3">
        <v>7.6</v>
      </c>
      <c r="M184" s="3">
        <v>27</v>
      </c>
      <c r="O184" s="3" t="s">
        <v>688</v>
      </c>
      <c r="P184" s="3">
        <v>9</v>
      </c>
      <c r="Q184" s="3">
        <v>0</v>
      </c>
      <c r="R184" s="10" t="s">
        <v>692</v>
      </c>
      <c r="S184" s="3" t="s">
        <v>684</v>
      </c>
    </row>
    <row r="185" spans="1:19" s="3" customFormat="1" ht="30" customHeight="1" x14ac:dyDescent="0.3">
      <c r="A185" s="4" t="s">
        <v>525</v>
      </c>
      <c r="B185" s="5" t="s">
        <v>278</v>
      </c>
      <c r="C185" s="5">
        <v>104</v>
      </c>
      <c r="D185" s="5">
        <v>108</v>
      </c>
      <c r="E185" s="5">
        <v>4</v>
      </c>
      <c r="F185" s="5">
        <v>12</v>
      </c>
      <c r="G185" s="6">
        <v>3399.0844579247</v>
      </c>
      <c r="H185" s="6">
        <v>3400</v>
      </c>
      <c r="I185" s="7">
        <v>46142</v>
      </c>
      <c r="J185" s="5"/>
      <c r="L185" s="3">
        <v>8.6999999999999993</v>
      </c>
      <c r="M185" s="3">
        <v>36</v>
      </c>
      <c r="O185" s="3" t="s">
        <v>688</v>
      </c>
      <c r="P185" s="3">
        <v>12</v>
      </c>
      <c r="Q185" s="3">
        <v>0</v>
      </c>
      <c r="R185" s="10" t="s">
        <v>692</v>
      </c>
      <c r="S185" s="3" t="s">
        <v>684</v>
      </c>
    </row>
    <row r="186" spans="1:19" s="3" customFormat="1" ht="30" customHeight="1" x14ac:dyDescent="0.3">
      <c r="A186" s="4" t="s">
        <v>526</v>
      </c>
      <c r="B186" s="5" t="s">
        <v>152</v>
      </c>
      <c r="C186" s="5">
        <v>2</v>
      </c>
      <c r="D186" s="5">
        <v>2</v>
      </c>
      <c r="E186" s="5">
        <v>0</v>
      </c>
      <c r="F186" s="5">
        <v>2</v>
      </c>
      <c r="G186" s="6">
        <v>3592.2200000001999</v>
      </c>
      <c r="H186" s="6">
        <v>3592.22</v>
      </c>
      <c r="I186" s="7">
        <v>45932</v>
      </c>
      <c r="J186" s="5"/>
      <c r="L186" s="3">
        <v>1</v>
      </c>
      <c r="M186" s="3">
        <v>6</v>
      </c>
      <c r="O186" s="3" t="s">
        <v>688</v>
      </c>
      <c r="P186" s="3">
        <v>2</v>
      </c>
      <c r="Q186" s="3">
        <v>6</v>
      </c>
      <c r="R186" s="10" t="s">
        <v>692</v>
      </c>
      <c r="S186" s="3" t="s">
        <v>686</v>
      </c>
    </row>
    <row r="187" spans="1:19" s="3" customFormat="1" ht="30" customHeight="1" x14ac:dyDescent="0.3">
      <c r="A187" s="4" t="s">
        <v>527</v>
      </c>
      <c r="B187" s="5" t="s">
        <v>54</v>
      </c>
      <c r="C187" s="5">
        <v>0</v>
      </c>
      <c r="D187" s="5">
        <v>0</v>
      </c>
      <c r="E187" s="5">
        <v>0</v>
      </c>
      <c r="F187" s="5">
        <v>0</v>
      </c>
      <c r="G187" s="6">
        <v>1731.6141965274001</v>
      </c>
      <c r="H187" s="6">
        <v>1731.63</v>
      </c>
      <c r="I187" s="7">
        <v>44662</v>
      </c>
      <c r="J187" s="5"/>
      <c r="O187" s="3" t="s">
        <v>688</v>
      </c>
      <c r="P187" s="3">
        <v>0</v>
      </c>
      <c r="Q187" s="3" t="s">
        <v>689</v>
      </c>
      <c r="R187" s="10" t="s">
        <v>689</v>
      </c>
      <c r="S187" s="3" t="s">
        <v>703</v>
      </c>
    </row>
    <row r="188" spans="1:19" s="3" customFormat="1" ht="30" customHeight="1" x14ac:dyDescent="0.3">
      <c r="A188" s="4" t="s">
        <v>528</v>
      </c>
      <c r="B188" s="5" t="s">
        <v>328</v>
      </c>
      <c r="C188" s="5">
        <v>18</v>
      </c>
      <c r="D188" s="5">
        <v>23</v>
      </c>
      <c r="E188" s="5">
        <v>5</v>
      </c>
      <c r="F188" s="5">
        <v>1</v>
      </c>
      <c r="G188" s="6">
        <v>3185.2752589815</v>
      </c>
      <c r="H188" s="6">
        <v>2756.85</v>
      </c>
      <c r="I188" s="7">
        <v>46092</v>
      </c>
      <c r="J188" s="5"/>
      <c r="L188" s="3">
        <v>18</v>
      </c>
      <c r="M188" s="3">
        <v>3</v>
      </c>
      <c r="O188" s="3" t="s">
        <v>688</v>
      </c>
      <c r="P188" s="3">
        <v>1</v>
      </c>
      <c r="Q188" s="3">
        <v>0</v>
      </c>
      <c r="R188" s="10" t="s">
        <v>692</v>
      </c>
      <c r="S188" s="3" t="s">
        <v>684</v>
      </c>
    </row>
    <row r="189" spans="1:19" s="3" customFormat="1" ht="30" customHeight="1" x14ac:dyDescent="0.3">
      <c r="A189" s="4" t="s">
        <v>529</v>
      </c>
      <c r="B189" s="5" t="s">
        <v>51</v>
      </c>
      <c r="C189" s="5">
        <v>2</v>
      </c>
      <c r="D189" s="5">
        <v>2</v>
      </c>
      <c r="E189" s="5">
        <v>0</v>
      </c>
      <c r="F189" s="5">
        <v>0</v>
      </c>
      <c r="G189" s="6">
        <v>3293.8722925485999</v>
      </c>
      <c r="H189" s="6">
        <v>3305.85</v>
      </c>
      <c r="I189" s="7">
        <v>45012</v>
      </c>
      <c r="J189" s="5"/>
      <c r="O189" s="3" t="s">
        <v>688</v>
      </c>
      <c r="P189" s="3">
        <v>0</v>
      </c>
      <c r="Q189" s="3" t="s">
        <v>689</v>
      </c>
      <c r="R189" s="10" t="s">
        <v>689</v>
      </c>
      <c r="S189" s="3" t="s">
        <v>704</v>
      </c>
    </row>
    <row r="190" spans="1:19" s="3" customFormat="1" ht="30" customHeight="1" x14ac:dyDescent="0.3">
      <c r="A190" s="4" t="s">
        <v>530</v>
      </c>
      <c r="B190" s="5" t="s">
        <v>280</v>
      </c>
      <c r="C190" s="5">
        <v>91</v>
      </c>
      <c r="D190" s="5">
        <v>99</v>
      </c>
      <c r="E190" s="5">
        <v>8</v>
      </c>
      <c r="F190" s="5">
        <v>10</v>
      </c>
      <c r="G190" s="6">
        <v>526.59888769789995</v>
      </c>
      <c r="H190" s="6">
        <v>553.5</v>
      </c>
      <c r="I190" s="7">
        <v>46139</v>
      </c>
      <c r="J190" s="5"/>
      <c r="L190" s="3">
        <v>9.1</v>
      </c>
      <c r="M190" s="3">
        <v>30</v>
      </c>
      <c r="O190" s="3" t="s">
        <v>688</v>
      </c>
      <c r="P190" s="3">
        <v>10</v>
      </c>
      <c r="Q190" s="3">
        <v>0</v>
      </c>
      <c r="R190" s="10" t="s">
        <v>692</v>
      </c>
      <c r="S190" s="3" t="s">
        <v>684</v>
      </c>
    </row>
    <row r="191" spans="1:19" s="3" customFormat="1" ht="30" customHeight="1" x14ac:dyDescent="0.3">
      <c r="A191" s="4" t="s">
        <v>531</v>
      </c>
      <c r="B191" s="5" t="s">
        <v>156</v>
      </c>
      <c r="C191" s="5">
        <v>16</v>
      </c>
      <c r="D191" s="5">
        <v>29</v>
      </c>
      <c r="E191" s="5">
        <v>13</v>
      </c>
      <c r="F191" s="5">
        <v>25</v>
      </c>
      <c r="G191" s="6">
        <v>640.4830755337</v>
      </c>
      <c r="H191" s="6">
        <v>553.5</v>
      </c>
      <c r="I191" s="7">
        <v>46139</v>
      </c>
      <c r="J191" s="5"/>
      <c r="L191" s="3">
        <v>0.6</v>
      </c>
      <c r="M191" s="3">
        <v>75</v>
      </c>
      <c r="O191" s="3" t="s">
        <v>688</v>
      </c>
      <c r="P191" s="3">
        <v>25</v>
      </c>
      <c r="Q191" s="3">
        <v>85</v>
      </c>
      <c r="R191" s="10" t="s">
        <v>692</v>
      </c>
      <c r="S191" s="3" t="s">
        <v>687</v>
      </c>
    </row>
    <row r="192" spans="1:19" s="3" customFormat="1" ht="30" customHeight="1" x14ac:dyDescent="0.3">
      <c r="A192" s="4" t="s">
        <v>532</v>
      </c>
      <c r="B192" s="5" t="s">
        <v>293</v>
      </c>
      <c r="C192" s="5">
        <v>93</v>
      </c>
      <c r="D192" s="5">
        <v>217</v>
      </c>
      <c r="E192" s="5">
        <v>124</v>
      </c>
      <c r="F192" s="5">
        <v>18</v>
      </c>
      <c r="G192" s="6">
        <v>330.374075135</v>
      </c>
      <c r="H192" s="6">
        <v>420</v>
      </c>
      <c r="I192" s="7">
        <v>46139</v>
      </c>
      <c r="J192" s="5"/>
      <c r="L192" s="3">
        <v>5.2</v>
      </c>
      <c r="M192" s="3">
        <v>54</v>
      </c>
      <c r="O192" s="3" t="s">
        <v>688</v>
      </c>
      <c r="P192" s="3">
        <v>18</v>
      </c>
      <c r="Q192" s="3">
        <v>0</v>
      </c>
      <c r="R192" s="10" t="s">
        <v>692</v>
      </c>
      <c r="S192" s="3" t="s">
        <v>684</v>
      </c>
    </row>
    <row r="193" spans="1:19" s="3" customFormat="1" ht="30" customHeight="1" x14ac:dyDescent="0.3">
      <c r="A193" s="4" t="s">
        <v>533</v>
      </c>
      <c r="B193" s="5" t="s">
        <v>324</v>
      </c>
      <c r="C193" s="5">
        <v>19</v>
      </c>
      <c r="D193" s="5">
        <v>106</v>
      </c>
      <c r="E193" s="5">
        <v>87</v>
      </c>
      <c r="F193" s="5">
        <v>4</v>
      </c>
      <c r="G193" s="6">
        <v>364.48365708699998</v>
      </c>
      <c r="H193" s="6">
        <v>420</v>
      </c>
      <c r="I193" s="7">
        <v>46090</v>
      </c>
      <c r="J193" s="5"/>
      <c r="L193" s="3">
        <v>4.8</v>
      </c>
      <c r="M193" s="3">
        <v>12</v>
      </c>
      <c r="O193" s="3" t="s">
        <v>688</v>
      </c>
      <c r="P193" s="3">
        <v>4</v>
      </c>
      <c r="Q193" s="3">
        <v>0</v>
      </c>
      <c r="R193" s="10" t="s">
        <v>692</v>
      </c>
      <c r="S193" s="3" t="s">
        <v>684</v>
      </c>
    </row>
    <row r="194" spans="1:19" s="3" customFormat="1" ht="30" customHeight="1" x14ac:dyDescent="0.3">
      <c r="A194" s="4" t="s">
        <v>534</v>
      </c>
      <c r="B194" s="5" t="s">
        <v>210</v>
      </c>
      <c r="C194" s="5">
        <v>36</v>
      </c>
      <c r="D194" s="5">
        <v>45</v>
      </c>
      <c r="E194" s="5">
        <v>9</v>
      </c>
      <c r="F194" s="5">
        <v>9</v>
      </c>
      <c r="G194" s="6">
        <v>416.58083579499998</v>
      </c>
      <c r="H194" s="6">
        <v>420</v>
      </c>
      <c r="I194" s="7">
        <v>46139</v>
      </c>
      <c r="J194" s="5"/>
      <c r="L194" s="3">
        <v>4</v>
      </c>
      <c r="M194" s="3">
        <v>27</v>
      </c>
      <c r="O194" s="3" t="s">
        <v>688</v>
      </c>
      <c r="P194" s="3">
        <v>9</v>
      </c>
      <c r="Q194" s="3">
        <v>0</v>
      </c>
      <c r="R194" s="10" t="s">
        <v>692</v>
      </c>
      <c r="S194" s="3" t="s">
        <v>684</v>
      </c>
    </row>
    <row r="195" spans="1:19" s="3" customFormat="1" ht="30" customHeight="1" x14ac:dyDescent="0.3">
      <c r="A195" s="4" t="s">
        <v>535</v>
      </c>
      <c r="B195" s="5" t="s">
        <v>126</v>
      </c>
      <c r="C195" s="5">
        <v>2</v>
      </c>
      <c r="D195" s="5">
        <v>2</v>
      </c>
      <c r="E195" s="5">
        <v>0</v>
      </c>
      <c r="F195" s="5">
        <v>0</v>
      </c>
      <c r="G195" s="6">
        <v>4633.3333333333003</v>
      </c>
      <c r="H195" s="6">
        <v>4800</v>
      </c>
      <c r="I195" s="7">
        <v>45793</v>
      </c>
      <c r="J195" s="5"/>
      <c r="O195" s="3" t="s">
        <v>688</v>
      </c>
      <c r="P195" s="3">
        <v>0</v>
      </c>
      <c r="Q195" s="3" t="s">
        <v>689</v>
      </c>
      <c r="R195" s="10" t="s">
        <v>689</v>
      </c>
      <c r="S195" s="3" t="s">
        <v>704</v>
      </c>
    </row>
    <row r="196" spans="1:19" s="3" customFormat="1" ht="30" customHeight="1" x14ac:dyDescent="0.3">
      <c r="A196" s="4" t="s">
        <v>536</v>
      </c>
      <c r="B196" s="5" t="s">
        <v>79</v>
      </c>
      <c r="C196" s="5">
        <v>0</v>
      </c>
      <c r="D196" s="5">
        <v>0</v>
      </c>
      <c r="E196" s="5">
        <v>0</v>
      </c>
      <c r="F196" s="5">
        <v>0</v>
      </c>
      <c r="G196" s="6">
        <v>4600</v>
      </c>
      <c r="H196" s="6">
        <v>4800</v>
      </c>
      <c r="I196" s="7">
        <v>45793</v>
      </c>
      <c r="J196" s="5"/>
      <c r="O196" s="3" t="s">
        <v>688</v>
      </c>
      <c r="P196" s="3">
        <v>0</v>
      </c>
      <c r="Q196" s="3" t="s">
        <v>689</v>
      </c>
      <c r="R196" s="10" t="s">
        <v>689</v>
      </c>
      <c r="S196" s="3" t="s">
        <v>703</v>
      </c>
    </row>
    <row r="197" spans="1:19" s="3" customFormat="1" ht="30" customHeight="1" x14ac:dyDescent="0.3">
      <c r="A197" s="4" t="s">
        <v>537</v>
      </c>
      <c r="B197" s="5" t="s">
        <v>59</v>
      </c>
      <c r="C197" s="5">
        <v>0</v>
      </c>
      <c r="D197" s="5">
        <v>0</v>
      </c>
      <c r="E197" s="5">
        <v>0</v>
      </c>
      <c r="F197" s="5">
        <v>0</v>
      </c>
      <c r="G197" s="6">
        <v>597</v>
      </c>
      <c r="H197" s="6">
        <v>597</v>
      </c>
      <c r="I197" s="7">
        <v>45341</v>
      </c>
      <c r="J197" s="5"/>
      <c r="O197" s="3" t="s">
        <v>688</v>
      </c>
      <c r="P197" s="3">
        <v>0</v>
      </c>
      <c r="Q197" s="3" t="s">
        <v>689</v>
      </c>
      <c r="R197" s="10" t="s">
        <v>689</v>
      </c>
      <c r="S197" s="3" t="s">
        <v>703</v>
      </c>
    </row>
    <row r="198" spans="1:19" s="3" customFormat="1" ht="30" customHeight="1" x14ac:dyDescent="0.3">
      <c r="A198" s="4" t="s">
        <v>538</v>
      </c>
      <c r="B198" s="5" t="s">
        <v>95</v>
      </c>
      <c r="C198" s="5">
        <v>4</v>
      </c>
      <c r="D198" s="5">
        <v>4</v>
      </c>
      <c r="E198" s="5">
        <v>0</v>
      </c>
      <c r="F198" s="5">
        <v>0</v>
      </c>
      <c r="G198" s="6">
        <v>266.11840000000001</v>
      </c>
      <c r="H198" s="6">
        <v>367.9</v>
      </c>
      <c r="I198" s="7">
        <v>45321</v>
      </c>
      <c r="J198" s="5"/>
      <c r="O198" s="3" t="s">
        <v>688</v>
      </c>
      <c r="P198" s="3">
        <v>0</v>
      </c>
      <c r="Q198" s="3" t="s">
        <v>689</v>
      </c>
      <c r="R198" s="10" t="s">
        <v>689</v>
      </c>
      <c r="S198" s="3" t="s">
        <v>704</v>
      </c>
    </row>
    <row r="199" spans="1:19" s="3" customFormat="1" ht="30" customHeight="1" x14ac:dyDescent="0.3">
      <c r="A199" s="4" t="s">
        <v>539</v>
      </c>
      <c r="B199" s="5" t="s">
        <v>288</v>
      </c>
      <c r="C199" s="5">
        <v>6</v>
      </c>
      <c r="D199" s="5">
        <v>10</v>
      </c>
      <c r="E199" s="5">
        <v>4</v>
      </c>
      <c r="F199" s="5">
        <v>2</v>
      </c>
      <c r="G199" s="6">
        <v>494.50197450360002</v>
      </c>
      <c r="H199" s="6">
        <v>335.1</v>
      </c>
      <c r="I199" s="7">
        <v>46141</v>
      </c>
      <c r="J199" s="5"/>
      <c r="L199" s="3">
        <v>3</v>
      </c>
      <c r="M199" s="3">
        <v>6</v>
      </c>
      <c r="O199" s="3" t="s">
        <v>688</v>
      </c>
      <c r="P199" s="3">
        <v>2</v>
      </c>
      <c r="Q199" s="3">
        <v>2</v>
      </c>
      <c r="R199" s="10" t="s">
        <v>692</v>
      </c>
      <c r="S199" s="3" t="s">
        <v>686</v>
      </c>
    </row>
    <row r="200" spans="1:19" s="3" customFormat="1" ht="30" customHeight="1" x14ac:dyDescent="0.3">
      <c r="A200" s="4" t="s">
        <v>540</v>
      </c>
      <c r="B200" s="5" t="s">
        <v>119</v>
      </c>
      <c r="C200" s="5">
        <v>10</v>
      </c>
      <c r="D200" s="5">
        <v>17</v>
      </c>
      <c r="E200" s="5">
        <v>7</v>
      </c>
      <c r="F200" s="5">
        <v>0</v>
      </c>
      <c r="G200" s="6">
        <v>528.93739275760004</v>
      </c>
      <c r="H200" s="6">
        <v>335.1</v>
      </c>
      <c r="I200" s="7">
        <v>45959</v>
      </c>
      <c r="J200" s="5"/>
      <c r="O200" s="3" t="s">
        <v>688</v>
      </c>
      <c r="P200" s="3">
        <v>0</v>
      </c>
      <c r="Q200" s="3" t="s">
        <v>689</v>
      </c>
      <c r="R200" s="10" t="s">
        <v>689</v>
      </c>
      <c r="S200" s="3" t="s">
        <v>704</v>
      </c>
    </row>
    <row r="201" spans="1:19" s="3" customFormat="1" ht="30" customHeight="1" x14ac:dyDescent="0.3">
      <c r="A201" s="4" t="s">
        <v>541</v>
      </c>
      <c r="B201" s="5" t="s">
        <v>149</v>
      </c>
      <c r="C201" s="5">
        <v>7</v>
      </c>
      <c r="D201" s="5">
        <v>9</v>
      </c>
      <c r="E201" s="5">
        <v>2</v>
      </c>
      <c r="F201" s="5">
        <v>0</v>
      </c>
      <c r="G201" s="6">
        <v>378.29059156379998</v>
      </c>
      <c r="H201" s="6">
        <v>297</v>
      </c>
      <c r="I201" s="7">
        <v>45790</v>
      </c>
      <c r="J201" s="5"/>
      <c r="O201" s="3" t="s">
        <v>688</v>
      </c>
      <c r="P201" s="3">
        <v>0</v>
      </c>
      <c r="Q201" s="3" t="s">
        <v>689</v>
      </c>
      <c r="R201" s="10" t="s">
        <v>689</v>
      </c>
      <c r="S201" s="3" t="s">
        <v>704</v>
      </c>
    </row>
    <row r="202" spans="1:19" s="3" customFormat="1" ht="30" customHeight="1" x14ac:dyDescent="0.3">
      <c r="A202" s="4" t="s">
        <v>542</v>
      </c>
      <c r="B202" s="5" t="s">
        <v>168</v>
      </c>
      <c r="C202" s="5">
        <v>19</v>
      </c>
      <c r="D202" s="5">
        <v>23</v>
      </c>
      <c r="E202" s="5">
        <v>4</v>
      </c>
      <c r="F202" s="5">
        <v>16</v>
      </c>
      <c r="G202" s="6">
        <v>1977.7536270899</v>
      </c>
      <c r="H202" s="6">
        <v>1980</v>
      </c>
      <c r="I202" s="7">
        <v>46128</v>
      </c>
      <c r="J202" s="5"/>
      <c r="L202" s="3">
        <v>1.2</v>
      </c>
      <c r="M202" s="3">
        <v>48</v>
      </c>
      <c r="O202" s="3" t="s">
        <v>688</v>
      </c>
      <c r="P202" s="3">
        <v>16</v>
      </c>
      <c r="Q202" s="3">
        <v>45</v>
      </c>
      <c r="R202" s="10" t="s">
        <v>692</v>
      </c>
      <c r="S202" s="3" t="s">
        <v>686</v>
      </c>
    </row>
    <row r="203" spans="1:19" s="3" customFormat="1" ht="30" customHeight="1" x14ac:dyDescent="0.3">
      <c r="A203" s="4" t="s">
        <v>543</v>
      </c>
      <c r="B203" s="5" t="s">
        <v>316</v>
      </c>
      <c r="C203" s="5">
        <v>78</v>
      </c>
      <c r="D203" s="5">
        <v>82</v>
      </c>
      <c r="E203" s="5">
        <v>4</v>
      </c>
      <c r="F203" s="5">
        <v>6</v>
      </c>
      <c r="G203" s="6">
        <v>27.9086277997</v>
      </c>
      <c r="H203" s="6">
        <v>28</v>
      </c>
      <c r="I203" s="7">
        <v>45982</v>
      </c>
      <c r="J203" s="5"/>
      <c r="L203" s="3">
        <v>13</v>
      </c>
      <c r="M203" s="3">
        <v>18</v>
      </c>
      <c r="O203" s="3" t="s">
        <v>688</v>
      </c>
      <c r="P203" s="3">
        <v>6</v>
      </c>
      <c r="Q203" s="3">
        <v>0</v>
      </c>
      <c r="R203" s="10" t="s">
        <v>692</v>
      </c>
      <c r="S203" s="3" t="s">
        <v>684</v>
      </c>
    </row>
    <row r="204" spans="1:19" s="3" customFormat="1" ht="30" customHeight="1" x14ac:dyDescent="0.3">
      <c r="A204" s="4" t="s">
        <v>544</v>
      </c>
      <c r="B204" s="5" t="s">
        <v>206</v>
      </c>
      <c r="C204" s="5">
        <v>26</v>
      </c>
      <c r="D204" s="5">
        <v>51</v>
      </c>
      <c r="E204" s="5">
        <v>25</v>
      </c>
      <c r="F204" s="5">
        <v>11</v>
      </c>
      <c r="G204" s="6">
        <v>556.46494320260001</v>
      </c>
      <c r="H204" s="6">
        <v>559</v>
      </c>
      <c r="I204" s="7">
        <v>46090</v>
      </c>
      <c r="J204" s="5"/>
      <c r="L204" s="3">
        <v>2.4</v>
      </c>
      <c r="M204" s="3">
        <v>33</v>
      </c>
      <c r="O204" s="3" t="s">
        <v>688</v>
      </c>
      <c r="P204" s="3">
        <v>11</v>
      </c>
      <c r="Q204" s="3">
        <v>18</v>
      </c>
      <c r="R204" s="10" t="s">
        <v>692</v>
      </c>
      <c r="S204" s="3" t="s">
        <v>686</v>
      </c>
    </row>
    <row r="205" spans="1:19" s="3" customFormat="1" ht="30" customHeight="1" x14ac:dyDescent="0.3">
      <c r="A205" s="4" t="s">
        <v>545</v>
      </c>
      <c r="B205" s="5" t="s">
        <v>243</v>
      </c>
      <c r="C205" s="5">
        <v>5</v>
      </c>
      <c r="D205" s="5">
        <v>6</v>
      </c>
      <c r="E205" s="5">
        <v>1</v>
      </c>
      <c r="F205" s="5">
        <v>1</v>
      </c>
      <c r="G205" s="6">
        <v>1666.6666666666999</v>
      </c>
      <c r="H205" s="6">
        <v>1450</v>
      </c>
      <c r="I205" s="7">
        <v>46140</v>
      </c>
      <c r="J205" s="5"/>
      <c r="L205" s="3">
        <v>5</v>
      </c>
      <c r="M205" s="3">
        <v>3</v>
      </c>
      <c r="O205" s="3" t="s">
        <v>688</v>
      </c>
      <c r="P205" s="3">
        <v>1</v>
      </c>
      <c r="Q205" s="3">
        <v>0</v>
      </c>
      <c r="R205" s="10" t="s">
        <v>692</v>
      </c>
      <c r="S205" s="3" t="s">
        <v>684</v>
      </c>
    </row>
    <row r="206" spans="1:19" s="3" customFormat="1" ht="30" customHeight="1" x14ac:dyDescent="0.3">
      <c r="A206" s="4" t="s">
        <v>546</v>
      </c>
      <c r="B206" s="5" t="s">
        <v>94</v>
      </c>
      <c r="C206" s="5">
        <v>2</v>
      </c>
      <c r="D206" s="5">
        <v>3</v>
      </c>
      <c r="E206" s="5">
        <v>1</v>
      </c>
      <c r="F206" s="5">
        <v>0</v>
      </c>
      <c r="G206" s="6">
        <v>3000</v>
      </c>
      <c r="H206" s="6">
        <v>3500</v>
      </c>
      <c r="I206" s="7">
        <v>46072</v>
      </c>
      <c r="J206" s="5"/>
      <c r="O206" s="3" t="s">
        <v>688</v>
      </c>
      <c r="P206" s="3">
        <v>0</v>
      </c>
      <c r="Q206" s="3" t="s">
        <v>689</v>
      </c>
      <c r="R206" s="10" t="s">
        <v>689</v>
      </c>
      <c r="S206" s="3" t="s">
        <v>704</v>
      </c>
    </row>
    <row r="207" spans="1:19" s="3" customFormat="1" ht="30" customHeight="1" x14ac:dyDescent="0.3">
      <c r="A207" s="4" t="s">
        <v>547</v>
      </c>
      <c r="B207" s="5" t="s">
        <v>52</v>
      </c>
      <c r="C207" s="5">
        <v>1</v>
      </c>
      <c r="D207" s="5">
        <v>1</v>
      </c>
      <c r="E207" s="5">
        <v>0</v>
      </c>
      <c r="F207" s="5">
        <v>0</v>
      </c>
      <c r="G207" s="6">
        <v>3000</v>
      </c>
      <c r="H207" s="6">
        <v>3000</v>
      </c>
      <c r="I207" s="7">
        <v>46113</v>
      </c>
      <c r="J207" s="5"/>
      <c r="O207" s="3" t="s">
        <v>688</v>
      </c>
      <c r="P207" s="3">
        <v>0</v>
      </c>
      <c r="Q207" s="3" t="s">
        <v>689</v>
      </c>
      <c r="R207" s="10" t="s">
        <v>689</v>
      </c>
      <c r="S207" s="3" t="s">
        <v>704</v>
      </c>
    </row>
    <row r="208" spans="1:19" s="3" customFormat="1" ht="30" customHeight="1" x14ac:dyDescent="0.3">
      <c r="A208" s="4" t="s">
        <v>548</v>
      </c>
      <c r="B208" s="5" t="s">
        <v>46</v>
      </c>
      <c r="C208" s="5">
        <v>2</v>
      </c>
      <c r="D208" s="5">
        <v>4</v>
      </c>
      <c r="E208" s="5">
        <v>2</v>
      </c>
      <c r="F208" s="5">
        <v>0</v>
      </c>
      <c r="G208" s="6">
        <v>2731.3671875001</v>
      </c>
      <c r="H208" s="6">
        <v>2510</v>
      </c>
      <c r="I208" s="7">
        <v>45959</v>
      </c>
      <c r="J208" s="5"/>
      <c r="O208" s="3" t="s">
        <v>688</v>
      </c>
      <c r="P208" s="3">
        <v>0</v>
      </c>
      <c r="Q208" s="3" t="s">
        <v>689</v>
      </c>
      <c r="R208" s="10" t="s">
        <v>689</v>
      </c>
      <c r="S208" s="3" t="s">
        <v>704</v>
      </c>
    </row>
    <row r="209" spans="1:19" s="3" customFormat="1" ht="30" customHeight="1" x14ac:dyDescent="0.3">
      <c r="A209" s="4" t="s">
        <v>549</v>
      </c>
      <c r="B209" s="5" t="s">
        <v>84</v>
      </c>
      <c r="C209" s="5">
        <v>8</v>
      </c>
      <c r="D209" s="5">
        <v>12</v>
      </c>
      <c r="E209" s="5">
        <v>4</v>
      </c>
      <c r="F209" s="5">
        <v>1</v>
      </c>
      <c r="G209" s="6">
        <v>1286.6311366253999</v>
      </c>
      <c r="H209" s="6">
        <v>1400</v>
      </c>
      <c r="I209" s="7">
        <v>45476</v>
      </c>
      <c r="J209" s="5"/>
      <c r="L209" s="3">
        <v>8</v>
      </c>
      <c r="M209" s="3">
        <v>3</v>
      </c>
      <c r="O209" s="3" t="s">
        <v>688</v>
      </c>
      <c r="P209" s="3">
        <v>1</v>
      </c>
      <c r="Q209" s="3">
        <v>0</v>
      </c>
      <c r="R209" s="10" t="s">
        <v>692</v>
      </c>
      <c r="S209" s="3" t="s">
        <v>684</v>
      </c>
    </row>
    <row r="210" spans="1:19" s="3" customFormat="1" ht="30" customHeight="1" x14ac:dyDescent="0.3">
      <c r="A210" s="4" t="s">
        <v>550</v>
      </c>
      <c r="B210" s="5" t="s">
        <v>245</v>
      </c>
      <c r="C210" s="5">
        <v>4</v>
      </c>
      <c r="D210" s="5">
        <v>5</v>
      </c>
      <c r="E210" s="5">
        <v>1</v>
      </c>
      <c r="F210" s="5">
        <v>1</v>
      </c>
      <c r="G210" s="6">
        <v>2975.3381772961998</v>
      </c>
      <c r="H210" s="6">
        <v>3500</v>
      </c>
      <c r="I210" s="7">
        <v>45733</v>
      </c>
      <c r="J210" s="5"/>
      <c r="L210" s="3">
        <v>4</v>
      </c>
      <c r="M210" s="3">
        <v>3</v>
      </c>
      <c r="O210" s="3" t="s">
        <v>688</v>
      </c>
      <c r="P210" s="3">
        <v>1</v>
      </c>
      <c r="Q210" s="3">
        <v>0</v>
      </c>
      <c r="R210" s="10" t="s">
        <v>692</v>
      </c>
      <c r="S210" s="3" t="s">
        <v>684</v>
      </c>
    </row>
    <row r="211" spans="1:19" s="3" customFormat="1" ht="30" customHeight="1" x14ac:dyDescent="0.3">
      <c r="A211" s="4" t="s">
        <v>551</v>
      </c>
      <c r="B211" s="5" t="s">
        <v>77</v>
      </c>
      <c r="C211" s="5">
        <v>2</v>
      </c>
      <c r="D211" s="5">
        <v>4</v>
      </c>
      <c r="E211" s="5">
        <v>2</v>
      </c>
      <c r="F211" s="5">
        <v>1</v>
      </c>
      <c r="G211" s="6">
        <v>1283.3984374999</v>
      </c>
      <c r="H211" s="6">
        <v>1300</v>
      </c>
      <c r="I211" s="7">
        <v>45469</v>
      </c>
      <c r="J211" s="5"/>
      <c r="L211" s="3">
        <v>2</v>
      </c>
      <c r="M211" s="3">
        <v>3</v>
      </c>
      <c r="O211" s="3" t="s">
        <v>688</v>
      </c>
      <c r="P211" s="3">
        <v>1</v>
      </c>
      <c r="Q211" s="3">
        <v>2</v>
      </c>
      <c r="R211" s="10" t="s">
        <v>692</v>
      </c>
      <c r="S211" s="3" t="s">
        <v>686</v>
      </c>
    </row>
    <row r="212" spans="1:19" s="3" customFormat="1" ht="30" customHeight="1" x14ac:dyDescent="0.3">
      <c r="A212" s="4" t="s">
        <v>552</v>
      </c>
      <c r="B212" s="5" t="s">
        <v>97</v>
      </c>
      <c r="C212" s="5">
        <v>4</v>
      </c>
      <c r="D212" s="5">
        <v>4</v>
      </c>
      <c r="E212" s="5">
        <v>0</v>
      </c>
      <c r="F212" s="5">
        <v>0</v>
      </c>
      <c r="G212" s="6">
        <v>3000</v>
      </c>
      <c r="H212" s="6">
        <v>3000</v>
      </c>
      <c r="I212" s="7">
        <v>46020</v>
      </c>
      <c r="J212" s="5"/>
      <c r="O212" s="3" t="s">
        <v>688</v>
      </c>
      <c r="P212" s="3">
        <v>0</v>
      </c>
      <c r="Q212" s="3" t="s">
        <v>689</v>
      </c>
      <c r="R212" s="10" t="s">
        <v>689</v>
      </c>
      <c r="S212" s="3" t="s">
        <v>704</v>
      </c>
    </row>
    <row r="213" spans="1:19" s="3" customFormat="1" ht="30" customHeight="1" x14ac:dyDescent="0.3">
      <c r="A213" s="4" t="s">
        <v>553</v>
      </c>
      <c r="B213" s="5" t="s">
        <v>195</v>
      </c>
      <c r="C213" s="5">
        <v>7</v>
      </c>
      <c r="D213" s="5">
        <v>11</v>
      </c>
      <c r="E213" s="5">
        <v>4</v>
      </c>
      <c r="F213" s="5">
        <v>2</v>
      </c>
      <c r="G213" s="6">
        <v>1495.7491067379001</v>
      </c>
      <c r="H213" s="6">
        <v>1450</v>
      </c>
      <c r="I213" s="7">
        <v>46140</v>
      </c>
      <c r="J213" s="5"/>
      <c r="L213" s="3">
        <v>3.5</v>
      </c>
      <c r="M213" s="3">
        <v>6</v>
      </c>
      <c r="O213" s="3" t="s">
        <v>688</v>
      </c>
      <c r="P213" s="3">
        <v>2</v>
      </c>
      <c r="Q213" s="3">
        <v>0</v>
      </c>
      <c r="R213" s="10" t="s">
        <v>692</v>
      </c>
      <c r="S213" s="3" t="s">
        <v>684</v>
      </c>
    </row>
    <row r="214" spans="1:19" s="3" customFormat="1" ht="30" customHeight="1" x14ac:dyDescent="0.3">
      <c r="A214" s="4" t="s">
        <v>554</v>
      </c>
      <c r="B214" s="5" t="s">
        <v>265</v>
      </c>
      <c r="C214" s="5">
        <v>4</v>
      </c>
      <c r="D214" s="5">
        <v>7</v>
      </c>
      <c r="E214" s="5">
        <v>3</v>
      </c>
      <c r="F214" s="5">
        <v>0</v>
      </c>
      <c r="G214" s="6">
        <v>3379.7507768541</v>
      </c>
      <c r="H214" s="6">
        <v>3800</v>
      </c>
      <c r="I214" s="7">
        <v>45888</v>
      </c>
      <c r="J214" s="5"/>
      <c r="O214" s="3" t="s">
        <v>688</v>
      </c>
      <c r="P214" s="3">
        <v>0</v>
      </c>
      <c r="Q214" s="3" t="s">
        <v>689</v>
      </c>
      <c r="R214" s="10" t="s">
        <v>689</v>
      </c>
      <c r="S214" s="3" t="s">
        <v>704</v>
      </c>
    </row>
    <row r="215" spans="1:19" s="3" customFormat="1" ht="30" customHeight="1" x14ac:dyDescent="0.3">
      <c r="A215" s="4" t="s">
        <v>555</v>
      </c>
      <c r="B215" s="5" t="s">
        <v>104</v>
      </c>
      <c r="C215" s="5">
        <v>8</v>
      </c>
      <c r="D215" s="5">
        <v>12</v>
      </c>
      <c r="E215" s="5">
        <v>4</v>
      </c>
      <c r="F215" s="5">
        <v>0</v>
      </c>
      <c r="G215" s="6">
        <v>1422.0964455615999</v>
      </c>
      <c r="H215" s="6">
        <v>1300</v>
      </c>
      <c r="I215" s="7">
        <v>45541</v>
      </c>
      <c r="J215" s="5"/>
      <c r="O215" s="3" t="s">
        <v>688</v>
      </c>
      <c r="P215" s="3">
        <v>0</v>
      </c>
      <c r="Q215" s="3" t="s">
        <v>689</v>
      </c>
      <c r="R215" s="10" t="s">
        <v>689</v>
      </c>
      <c r="S215" s="3" t="s">
        <v>704</v>
      </c>
    </row>
    <row r="216" spans="1:19" s="3" customFormat="1" ht="30" customHeight="1" x14ac:dyDescent="0.3">
      <c r="A216" s="4" t="s">
        <v>556</v>
      </c>
      <c r="B216" s="5" t="s">
        <v>287</v>
      </c>
      <c r="C216" s="5">
        <v>7</v>
      </c>
      <c r="D216" s="5">
        <v>10</v>
      </c>
      <c r="E216" s="5">
        <v>3</v>
      </c>
      <c r="F216" s="5">
        <v>2</v>
      </c>
      <c r="G216" s="6">
        <v>2285.6109454153002</v>
      </c>
      <c r="H216" s="6">
        <v>3000</v>
      </c>
      <c r="I216" s="7">
        <v>46020</v>
      </c>
      <c r="J216" s="5"/>
      <c r="L216" s="3">
        <v>3.5</v>
      </c>
      <c r="M216" s="3">
        <v>6</v>
      </c>
      <c r="O216" s="3" t="s">
        <v>688</v>
      </c>
      <c r="P216" s="3">
        <v>2</v>
      </c>
      <c r="Q216" s="3">
        <v>0</v>
      </c>
      <c r="R216" s="10" t="s">
        <v>692</v>
      </c>
      <c r="S216" s="3" t="s">
        <v>684</v>
      </c>
    </row>
    <row r="217" spans="1:19" s="3" customFormat="1" ht="30" customHeight="1" x14ac:dyDescent="0.3">
      <c r="A217" s="4" t="s">
        <v>557</v>
      </c>
      <c r="B217" s="5" t="s">
        <v>246</v>
      </c>
      <c r="C217" s="5">
        <v>8</v>
      </c>
      <c r="D217" s="5">
        <v>12</v>
      </c>
      <c r="E217" s="5">
        <v>4</v>
      </c>
      <c r="F217" s="5">
        <v>4</v>
      </c>
      <c r="G217" s="6">
        <v>3076.7795303100002</v>
      </c>
      <c r="H217" s="6">
        <v>3200</v>
      </c>
      <c r="I217" s="7">
        <v>46092</v>
      </c>
      <c r="J217" s="5"/>
      <c r="L217" s="3">
        <v>2</v>
      </c>
      <c r="M217" s="3">
        <v>12</v>
      </c>
      <c r="O217" s="3" t="s">
        <v>688</v>
      </c>
      <c r="P217" s="3">
        <v>4</v>
      </c>
      <c r="Q217" s="3">
        <v>8</v>
      </c>
      <c r="R217" s="10" t="s">
        <v>692</v>
      </c>
      <c r="S217" s="3" t="s">
        <v>686</v>
      </c>
    </row>
    <row r="218" spans="1:19" s="3" customFormat="1" ht="30" customHeight="1" x14ac:dyDescent="0.3">
      <c r="A218" s="4" t="s">
        <v>558</v>
      </c>
      <c r="B218" s="5" t="s">
        <v>146</v>
      </c>
      <c r="C218" s="5">
        <v>10</v>
      </c>
      <c r="D218" s="5">
        <v>14</v>
      </c>
      <c r="E218" s="5">
        <v>4</v>
      </c>
      <c r="F218" s="5">
        <v>0</v>
      </c>
      <c r="G218" s="6">
        <v>3411.2719027004</v>
      </c>
      <c r="H218" s="6">
        <v>3000</v>
      </c>
      <c r="I218" s="7">
        <v>46076</v>
      </c>
      <c r="J218" s="5"/>
      <c r="O218" s="3" t="s">
        <v>688</v>
      </c>
      <c r="P218" s="3">
        <v>0</v>
      </c>
      <c r="Q218" s="3" t="s">
        <v>689</v>
      </c>
      <c r="R218" s="10" t="s">
        <v>689</v>
      </c>
      <c r="S218" s="3" t="s">
        <v>704</v>
      </c>
    </row>
    <row r="219" spans="1:19" s="3" customFormat="1" ht="30" customHeight="1" x14ac:dyDescent="0.3">
      <c r="A219" s="4" t="s">
        <v>559</v>
      </c>
      <c r="B219" s="5" t="s">
        <v>257</v>
      </c>
      <c r="C219" s="5">
        <v>10</v>
      </c>
      <c r="D219" s="5">
        <v>13</v>
      </c>
      <c r="E219" s="5">
        <v>3</v>
      </c>
      <c r="F219" s="5">
        <v>2</v>
      </c>
      <c r="G219" s="6">
        <v>3357.4490189013</v>
      </c>
      <c r="H219" s="6">
        <v>3200</v>
      </c>
      <c r="I219" s="7">
        <v>46092</v>
      </c>
      <c r="J219" s="5"/>
      <c r="L219" s="3">
        <v>5</v>
      </c>
      <c r="M219" s="3">
        <v>6</v>
      </c>
      <c r="O219" s="3" t="s">
        <v>688</v>
      </c>
      <c r="P219" s="3">
        <v>2</v>
      </c>
      <c r="Q219" s="3">
        <v>0</v>
      </c>
      <c r="R219" s="10" t="s">
        <v>692</v>
      </c>
      <c r="S219" s="3" t="s">
        <v>684</v>
      </c>
    </row>
    <row r="220" spans="1:19" s="3" customFormat="1" ht="30" customHeight="1" x14ac:dyDescent="0.3">
      <c r="A220" s="4" t="s">
        <v>560</v>
      </c>
      <c r="B220" s="5" t="s">
        <v>65</v>
      </c>
      <c r="C220" s="5">
        <v>0</v>
      </c>
      <c r="D220" s="5">
        <v>0</v>
      </c>
      <c r="E220" s="5">
        <v>0</v>
      </c>
      <c r="F220" s="5">
        <v>0</v>
      </c>
      <c r="G220" s="6">
        <v>1829.1</v>
      </c>
      <c r="H220" s="6">
        <v>1829.1</v>
      </c>
      <c r="I220" s="7">
        <v>45373</v>
      </c>
      <c r="J220" s="5"/>
      <c r="O220" s="3" t="s">
        <v>688</v>
      </c>
      <c r="P220" s="3">
        <v>0</v>
      </c>
      <c r="Q220" s="3" t="s">
        <v>689</v>
      </c>
      <c r="R220" s="10" t="s">
        <v>689</v>
      </c>
      <c r="S220" s="3" t="s">
        <v>703</v>
      </c>
    </row>
    <row r="221" spans="1:19" s="3" customFormat="1" ht="30" customHeight="1" x14ac:dyDescent="0.3">
      <c r="A221" s="4" t="s">
        <v>561</v>
      </c>
      <c r="B221" s="5" t="s">
        <v>176</v>
      </c>
      <c r="C221" s="5">
        <v>9</v>
      </c>
      <c r="D221" s="5">
        <v>14</v>
      </c>
      <c r="E221" s="5">
        <v>5</v>
      </c>
      <c r="F221" s="5">
        <v>4</v>
      </c>
      <c r="G221" s="6">
        <v>2092.5439420757998</v>
      </c>
      <c r="H221" s="6">
        <v>1450</v>
      </c>
      <c r="I221" s="7">
        <v>46140</v>
      </c>
      <c r="J221" s="5"/>
      <c r="L221" s="3">
        <v>2.2000000000000002</v>
      </c>
      <c r="M221" s="3">
        <v>12</v>
      </c>
      <c r="O221" s="3" t="s">
        <v>688</v>
      </c>
      <c r="P221" s="3">
        <v>4</v>
      </c>
      <c r="Q221" s="3">
        <v>8</v>
      </c>
      <c r="R221" s="10" t="s">
        <v>692</v>
      </c>
      <c r="S221" s="3" t="s">
        <v>686</v>
      </c>
    </row>
    <row r="222" spans="1:19" s="3" customFormat="1" ht="30" customHeight="1" x14ac:dyDescent="0.3">
      <c r="A222" s="4" t="s">
        <v>562</v>
      </c>
      <c r="B222" s="5" t="s">
        <v>58</v>
      </c>
      <c r="C222" s="5">
        <v>0</v>
      </c>
      <c r="D222" s="5">
        <v>0</v>
      </c>
      <c r="E222" s="5">
        <v>0</v>
      </c>
      <c r="F222" s="5">
        <v>0</v>
      </c>
      <c r="G222" s="6">
        <v>1935</v>
      </c>
      <c r="H222" s="6">
        <v>1876.95</v>
      </c>
      <c r="I222" s="7">
        <v>45099</v>
      </c>
      <c r="J222" s="5"/>
      <c r="O222" s="3" t="s">
        <v>688</v>
      </c>
      <c r="P222" s="3">
        <v>0</v>
      </c>
      <c r="Q222" s="3" t="s">
        <v>689</v>
      </c>
      <c r="R222" s="10" t="s">
        <v>689</v>
      </c>
      <c r="S222" s="3" t="s">
        <v>703</v>
      </c>
    </row>
    <row r="223" spans="1:19" s="3" customFormat="1" ht="30" customHeight="1" x14ac:dyDescent="0.3">
      <c r="A223" s="4" t="s">
        <v>563</v>
      </c>
      <c r="B223" s="5" t="s">
        <v>39</v>
      </c>
      <c r="C223" s="5">
        <v>0</v>
      </c>
      <c r="D223" s="5">
        <v>0</v>
      </c>
      <c r="E223" s="5">
        <v>0</v>
      </c>
      <c r="F223" s="5">
        <v>1</v>
      </c>
      <c r="G223" s="6">
        <v>820</v>
      </c>
      <c r="H223" s="6">
        <v>820</v>
      </c>
      <c r="I223" s="7">
        <v>45860</v>
      </c>
      <c r="J223" s="5"/>
      <c r="L223" s="3">
        <v>0</v>
      </c>
      <c r="M223" s="3">
        <v>3</v>
      </c>
      <c r="O223" s="3" t="s">
        <v>688</v>
      </c>
      <c r="P223" s="3">
        <v>1</v>
      </c>
      <c r="Q223" s="3">
        <v>4</v>
      </c>
      <c r="R223" s="10" t="s">
        <v>692</v>
      </c>
      <c r="S223" s="3" t="s">
        <v>687</v>
      </c>
    </row>
    <row r="224" spans="1:19" s="3" customFormat="1" ht="30" customHeight="1" x14ac:dyDescent="0.3">
      <c r="A224" s="4" t="s">
        <v>564</v>
      </c>
      <c r="B224" s="5" t="s">
        <v>242</v>
      </c>
      <c r="C224" s="5">
        <v>4</v>
      </c>
      <c r="D224" s="5">
        <v>6</v>
      </c>
      <c r="E224" s="5">
        <v>2</v>
      </c>
      <c r="F224" s="5">
        <v>1</v>
      </c>
      <c r="G224" s="6">
        <v>6741.6666666666997</v>
      </c>
      <c r="H224" s="6">
        <v>7040</v>
      </c>
      <c r="I224" s="7">
        <v>46125</v>
      </c>
      <c r="J224" s="5"/>
      <c r="L224" s="8">
        <v>4</v>
      </c>
      <c r="M224" s="3">
        <v>3</v>
      </c>
      <c r="O224" s="3" t="s">
        <v>688</v>
      </c>
      <c r="P224" s="3">
        <v>1</v>
      </c>
      <c r="Q224" s="3">
        <v>0</v>
      </c>
      <c r="R224" s="10" t="s">
        <v>692</v>
      </c>
      <c r="S224" s="3" t="s">
        <v>684</v>
      </c>
    </row>
    <row r="225" spans="1:19" s="3" customFormat="1" ht="30" customHeight="1" x14ac:dyDescent="0.3">
      <c r="A225" s="4" t="s">
        <v>565</v>
      </c>
      <c r="B225" s="5" t="s">
        <v>74</v>
      </c>
      <c r="C225" s="5">
        <v>0</v>
      </c>
      <c r="D225" s="5">
        <v>0</v>
      </c>
      <c r="E225" s="5">
        <v>0</v>
      </c>
      <c r="F225" s="5">
        <v>0</v>
      </c>
      <c r="G225" s="6">
        <v>2278.58</v>
      </c>
      <c r="H225" s="6">
        <v>2278.58</v>
      </c>
      <c r="I225" s="7">
        <v>44924</v>
      </c>
      <c r="J225" s="5"/>
      <c r="O225" s="3" t="s">
        <v>688</v>
      </c>
      <c r="P225" s="3">
        <v>0</v>
      </c>
      <c r="Q225" s="3" t="s">
        <v>689</v>
      </c>
      <c r="R225" s="10" t="s">
        <v>689</v>
      </c>
      <c r="S225" s="3" t="s">
        <v>703</v>
      </c>
    </row>
    <row r="226" spans="1:19" s="3" customFormat="1" ht="30" customHeight="1" x14ac:dyDescent="0.3">
      <c r="A226" s="4" t="s">
        <v>566</v>
      </c>
      <c r="B226" s="5" t="s">
        <v>275</v>
      </c>
      <c r="C226" s="5">
        <v>6</v>
      </c>
      <c r="D226" s="5">
        <v>8</v>
      </c>
      <c r="E226" s="5">
        <v>2</v>
      </c>
      <c r="F226" s="5">
        <v>0</v>
      </c>
      <c r="G226" s="6">
        <v>9147.8356467014</v>
      </c>
      <c r="H226" s="6">
        <v>6618</v>
      </c>
      <c r="I226" s="7">
        <v>46085</v>
      </c>
      <c r="J226" s="5"/>
      <c r="O226" s="3" t="s">
        <v>688</v>
      </c>
      <c r="P226" s="3">
        <v>0</v>
      </c>
      <c r="Q226" s="3" t="s">
        <v>689</v>
      </c>
      <c r="R226" s="10" t="s">
        <v>689</v>
      </c>
      <c r="S226" s="3" t="s">
        <v>704</v>
      </c>
    </row>
    <row r="227" spans="1:19" s="3" customFormat="1" ht="30" customHeight="1" x14ac:dyDescent="0.3">
      <c r="A227" s="4" t="s">
        <v>567</v>
      </c>
      <c r="B227" s="5" t="s">
        <v>164</v>
      </c>
      <c r="C227" s="5">
        <v>0</v>
      </c>
      <c r="D227" s="5">
        <v>2</v>
      </c>
      <c r="E227" s="5">
        <v>2</v>
      </c>
      <c r="F227" s="5">
        <v>1</v>
      </c>
      <c r="G227" s="6">
        <v>820</v>
      </c>
      <c r="H227" s="6">
        <v>820</v>
      </c>
      <c r="I227" s="7">
        <v>46099</v>
      </c>
      <c r="J227" s="5"/>
      <c r="L227" s="3">
        <v>0</v>
      </c>
      <c r="M227" s="3">
        <v>3</v>
      </c>
      <c r="O227" s="3" t="s">
        <v>688</v>
      </c>
      <c r="P227" s="3">
        <v>1</v>
      </c>
      <c r="Q227" s="3">
        <v>4</v>
      </c>
      <c r="R227" s="10" t="s">
        <v>692</v>
      </c>
      <c r="S227" s="3" t="s">
        <v>687</v>
      </c>
    </row>
    <row r="228" spans="1:19" s="3" customFormat="1" ht="30" customHeight="1" x14ac:dyDescent="0.3">
      <c r="A228" s="4" t="s">
        <v>568</v>
      </c>
      <c r="B228" s="5" t="s">
        <v>28</v>
      </c>
      <c r="C228" s="5">
        <v>0</v>
      </c>
      <c r="D228" s="5">
        <v>0</v>
      </c>
      <c r="E228" s="5">
        <v>0</v>
      </c>
      <c r="F228" s="5">
        <v>0</v>
      </c>
      <c r="G228" s="6">
        <v>1829.1</v>
      </c>
      <c r="H228" s="6">
        <v>1400</v>
      </c>
      <c r="I228" s="7">
        <v>45168</v>
      </c>
      <c r="J228" s="5"/>
      <c r="O228" s="3" t="s">
        <v>688</v>
      </c>
      <c r="P228" s="3">
        <v>0</v>
      </c>
      <c r="Q228" s="3" t="s">
        <v>689</v>
      </c>
      <c r="R228" s="10" t="s">
        <v>689</v>
      </c>
      <c r="S228" s="3" t="s">
        <v>703</v>
      </c>
    </row>
    <row r="229" spans="1:19" s="3" customFormat="1" ht="30" customHeight="1" x14ac:dyDescent="0.3">
      <c r="A229" s="4" t="s">
        <v>569</v>
      </c>
      <c r="B229" s="5" t="s">
        <v>71</v>
      </c>
      <c r="C229" s="5">
        <v>0</v>
      </c>
      <c r="D229" s="5">
        <v>0</v>
      </c>
      <c r="E229" s="5">
        <v>0</v>
      </c>
      <c r="F229" s="5">
        <v>1</v>
      </c>
      <c r="G229" s="6">
        <v>820</v>
      </c>
      <c r="H229" s="6">
        <v>820</v>
      </c>
      <c r="I229" s="7">
        <v>46099</v>
      </c>
      <c r="J229" s="5"/>
      <c r="L229" s="3">
        <v>0</v>
      </c>
      <c r="M229" s="3">
        <v>3</v>
      </c>
      <c r="O229" s="3" t="s">
        <v>688</v>
      </c>
      <c r="P229" s="3">
        <v>1</v>
      </c>
      <c r="Q229" s="3">
        <v>4</v>
      </c>
      <c r="R229" s="10" t="s">
        <v>692</v>
      </c>
      <c r="S229" s="3" t="s">
        <v>687</v>
      </c>
    </row>
    <row r="230" spans="1:19" s="3" customFormat="1" ht="30" customHeight="1" x14ac:dyDescent="0.3">
      <c r="A230" s="4" t="s">
        <v>570</v>
      </c>
      <c r="B230" s="5" t="s">
        <v>129</v>
      </c>
      <c r="C230" s="5">
        <v>3</v>
      </c>
      <c r="D230" s="5">
        <v>5</v>
      </c>
      <c r="E230" s="5">
        <v>2</v>
      </c>
      <c r="F230" s="5">
        <v>0</v>
      </c>
      <c r="G230" s="6">
        <v>1795.54</v>
      </c>
      <c r="H230" s="6">
        <v>1761.98</v>
      </c>
      <c r="I230" s="7">
        <v>45404</v>
      </c>
      <c r="J230" s="5"/>
      <c r="O230" s="3" t="s">
        <v>688</v>
      </c>
      <c r="P230" s="3">
        <v>0</v>
      </c>
      <c r="Q230" s="3" t="s">
        <v>689</v>
      </c>
      <c r="R230" s="10" t="s">
        <v>689</v>
      </c>
      <c r="S230" s="3" t="s">
        <v>704</v>
      </c>
    </row>
    <row r="231" spans="1:19" s="3" customFormat="1" ht="30" customHeight="1" x14ac:dyDescent="0.3">
      <c r="A231" s="4" t="s">
        <v>571</v>
      </c>
      <c r="B231" s="5" t="s">
        <v>63</v>
      </c>
      <c r="C231" s="5">
        <v>2</v>
      </c>
      <c r="D231" s="5">
        <v>4</v>
      </c>
      <c r="E231" s="5">
        <v>2</v>
      </c>
      <c r="F231" s="5">
        <v>3</v>
      </c>
      <c r="G231" s="6">
        <v>1653.2251655550001</v>
      </c>
      <c r="H231" s="6">
        <v>1970</v>
      </c>
      <c r="I231" s="7">
        <v>45961</v>
      </c>
      <c r="J231" s="5"/>
      <c r="L231" s="3">
        <v>0.7</v>
      </c>
      <c r="M231" s="3">
        <v>9</v>
      </c>
      <c r="O231" s="3" t="s">
        <v>688</v>
      </c>
      <c r="P231" s="3">
        <v>3</v>
      </c>
      <c r="Q231" s="3">
        <v>10</v>
      </c>
      <c r="R231" s="10" t="s">
        <v>692</v>
      </c>
      <c r="S231" s="3" t="s">
        <v>687</v>
      </c>
    </row>
    <row r="232" spans="1:19" s="3" customFormat="1" ht="30" customHeight="1" x14ac:dyDescent="0.3">
      <c r="A232" s="4" t="s">
        <v>572</v>
      </c>
      <c r="B232" s="5" t="s">
        <v>113</v>
      </c>
      <c r="C232" s="5">
        <v>5</v>
      </c>
      <c r="D232" s="5">
        <v>7</v>
      </c>
      <c r="E232" s="5">
        <v>2</v>
      </c>
      <c r="F232" s="5">
        <v>0</v>
      </c>
      <c r="G232" s="6">
        <v>1459.5714285714</v>
      </c>
      <c r="H232" s="6">
        <v>1765</v>
      </c>
      <c r="I232" s="7">
        <v>46101</v>
      </c>
      <c r="J232" s="5"/>
      <c r="O232" s="3" t="s">
        <v>688</v>
      </c>
      <c r="P232" s="3">
        <v>0</v>
      </c>
      <c r="Q232" s="3" t="s">
        <v>689</v>
      </c>
      <c r="R232" s="10" t="s">
        <v>689</v>
      </c>
      <c r="S232" s="3" t="s">
        <v>704</v>
      </c>
    </row>
    <row r="233" spans="1:19" s="3" customFormat="1" ht="30" customHeight="1" x14ac:dyDescent="0.3">
      <c r="A233" s="4" t="s">
        <v>573</v>
      </c>
      <c r="B233" s="5" t="s">
        <v>13</v>
      </c>
      <c r="C233" s="5">
        <v>7</v>
      </c>
      <c r="D233" s="5">
        <v>9</v>
      </c>
      <c r="E233" s="5">
        <v>2</v>
      </c>
      <c r="F233" s="5">
        <v>0</v>
      </c>
      <c r="G233" s="6">
        <v>1319.6490694444001</v>
      </c>
      <c r="H233" s="6">
        <v>1300</v>
      </c>
      <c r="I233" s="7">
        <v>46084</v>
      </c>
      <c r="J233" s="5"/>
      <c r="O233" s="3" t="s">
        <v>688</v>
      </c>
      <c r="P233" s="3">
        <v>0</v>
      </c>
      <c r="Q233" s="3" t="s">
        <v>689</v>
      </c>
      <c r="R233" s="10" t="s">
        <v>689</v>
      </c>
      <c r="S233" s="3" t="s">
        <v>704</v>
      </c>
    </row>
    <row r="234" spans="1:19" s="3" customFormat="1" ht="30" customHeight="1" x14ac:dyDescent="0.3">
      <c r="A234" s="4" t="s">
        <v>574</v>
      </c>
      <c r="B234" s="5" t="s">
        <v>118</v>
      </c>
      <c r="C234" s="5">
        <v>1</v>
      </c>
      <c r="D234" s="5">
        <v>1</v>
      </c>
      <c r="E234" s="5">
        <v>0</v>
      </c>
      <c r="F234" s="5">
        <v>0</v>
      </c>
      <c r="G234" s="6">
        <v>1225</v>
      </c>
      <c r="H234" s="6">
        <v>1225</v>
      </c>
      <c r="I234" s="7">
        <v>46063</v>
      </c>
      <c r="J234" s="5"/>
      <c r="O234" s="3" t="s">
        <v>688</v>
      </c>
      <c r="P234" s="3">
        <v>0</v>
      </c>
      <c r="Q234" s="3" t="s">
        <v>689</v>
      </c>
      <c r="R234" s="10" t="s">
        <v>689</v>
      </c>
      <c r="S234" s="3" t="s">
        <v>704</v>
      </c>
    </row>
    <row r="235" spans="1:19" s="3" customFormat="1" ht="30" customHeight="1" x14ac:dyDescent="0.3">
      <c r="A235" s="4" t="s">
        <v>575</v>
      </c>
      <c r="B235" s="5" t="s">
        <v>40</v>
      </c>
      <c r="C235" s="5">
        <v>12</v>
      </c>
      <c r="D235" s="5">
        <v>12</v>
      </c>
      <c r="E235" s="5">
        <v>0</v>
      </c>
      <c r="F235" s="5">
        <v>0</v>
      </c>
      <c r="G235" s="6">
        <v>962.03666666660001</v>
      </c>
      <c r="H235" s="6">
        <v>990</v>
      </c>
      <c r="I235" s="7">
        <v>46127</v>
      </c>
      <c r="J235" s="5"/>
      <c r="O235" s="3" t="s">
        <v>688</v>
      </c>
      <c r="P235" s="3">
        <v>0</v>
      </c>
      <c r="Q235" s="3" t="s">
        <v>689</v>
      </c>
      <c r="R235" s="10" t="s">
        <v>689</v>
      </c>
      <c r="S235" s="3" t="s">
        <v>704</v>
      </c>
    </row>
    <row r="236" spans="1:19" s="3" customFormat="1" ht="30" customHeight="1" x14ac:dyDescent="0.3">
      <c r="A236" s="4" t="s">
        <v>576</v>
      </c>
      <c r="B236" s="5" t="s">
        <v>263</v>
      </c>
      <c r="C236" s="5">
        <v>122</v>
      </c>
      <c r="D236" s="5">
        <v>164</v>
      </c>
      <c r="E236" s="5">
        <v>42</v>
      </c>
      <c r="F236" s="5">
        <v>19</v>
      </c>
      <c r="G236" s="6">
        <v>146.26422307120001</v>
      </c>
      <c r="H236" s="6">
        <v>145</v>
      </c>
      <c r="I236" s="7">
        <v>46065</v>
      </c>
      <c r="J236" s="5"/>
      <c r="L236" s="3">
        <v>6.4</v>
      </c>
      <c r="M236" s="3">
        <v>57</v>
      </c>
      <c r="O236" s="3" t="s">
        <v>688</v>
      </c>
      <c r="P236" s="3">
        <v>19</v>
      </c>
      <c r="Q236" s="3">
        <v>0</v>
      </c>
      <c r="R236" s="10" t="s">
        <v>692</v>
      </c>
      <c r="S236" s="3" t="s">
        <v>684</v>
      </c>
    </row>
    <row r="237" spans="1:19" s="3" customFormat="1" ht="30" customHeight="1" x14ac:dyDescent="0.3">
      <c r="A237" s="4" t="s">
        <v>577</v>
      </c>
      <c r="B237" s="5" t="s">
        <v>90</v>
      </c>
      <c r="C237" s="5">
        <v>0</v>
      </c>
      <c r="D237" s="5">
        <v>0</v>
      </c>
      <c r="E237" s="5">
        <v>0</v>
      </c>
      <c r="F237" s="5">
        <v>0</v>
      </c>
      <c r="G237" s="6">
        <v>637.82780309040004</v>
      </c>
      <c r="H237" s="6">
        <v>295</v>
      </c>
      <c r="I237" s="7">
        <v>45236</v>
      </c>
      <c r="J237" s="5"/>
      <c r="O237" s="3" t="s">
        <v>688</v>
      </c>
      <c r="P237" s="3">
        <v>0</v>
      </c>
      <c r="Q237" s="3" t="s">
        <v>689</v>
      </c>
      <c r="R237" s="10" t="s">
        <v>689</v>
      </c>
      <c r="S237" s="3" t="s">
        <v>703</v>
      </c>
    </row>
    <row r="238" spans="1:19" s="3" customFormat="1" ht="30" customHeight="1" x14ac:dyDescent="0.3">
      <c r="A238" s="4" t="s">
        <v>578</v>
      </c>
      <c r="B238" s="5" t="s">
        <v>214</v>
      </c>
      <c r="C238" s="5">
        <v>1110</v>
      </c>
      <c r="D238" s="5">
        <v>1157</v>
      </c>
      <c r="E238" s="5">
        <v>47</v>
      </c>
      <c r="F238" s="5">
        <v>237</v>
      </c>
      <c r="G238" s="6">
        <v>145.13823546180001</v>
      </c>
      <c r="H238" s="6">
        <v>145</v>
      </c>
      <c r="I238" s="7">
        <v>46141</v>
      </c>
      <c r="J238" s="5" t="s">
        <v>690</v>
      </c>
      <c r="K238" s="3">
        <v>20</v>
      </c>
      <c r="L238" s="3">
        <v>4.7</v>
      </c>
      <c r="M238" s="3">
        <v>711</v>
      </c>
      <c r="N238" s="3">
        <v>8.4388185654008435E-2</v>
      </c>
      <c r="O238" s="3" t="s">
        <v>688</v>
      </c>
      <c r="P238" s="3">
        <v>237</v>
      </c>
      <c r="Q238" s="3">
        <v>0</v>
      </c>
      <c r="R238" s="10" t="s">
        <v>692</v>
      </c>
      <c r="S238" s="3" t="s">
        <v>684</v>
      </c>
    </row>
    <row r="239" spans="1:19" s="3" customFormat="1" ht="30" customHeight="1" x14ac:dyDescent="0.3">
      <c r="A239" s="4" t="s">
        <v>579</v>
      </c>
      <c r="B239" s="5" t="s">
        <v>229</v>
      </c>
      <c r="C239" s="5">
        <v>277</v>
      </c>
      <c r="D239" s="5">
        <v>300</v>
      </c>
      <c r="E239" s="5">
        <v>23</v>
      </c>
      <c r="F239" s="5">
        <v>48</v>
      </c>
      <c r="G239" s="6">
        <v>165.02450008689999</v>
      </c>
      <c r="H239" s="6">
        <v>175</v>
      </c>
      <c r="I239" s="7">
        <v>46132</v>
      </c>
      <c r="J239" s="5"/>
      <c r="L239" s="3">
        <v>5.8</v>
      </c>
      <c r="M239" s="3">
        <v>144</v>
      </c>
      <c r="O239" s="3" t="s">
        <v>688</v>
      </c>
      <c r="P239" s="3">
        <v>48</v>
      </c>
      <c r="Q239" s="3">
        <v>0</v>
      </c>
      <c r="R239" s="10" t="s">
        <v>692</v>
      </c>
      <c r="S239" s="3" t="s">
        <v>684</v>
      </c>
    </row>
    <row r="240" spans="1:19" s="3" customFormat="1" ht="30" customHeight="1" x14ac:dyDescent="0.3">
      <c r="A240" s="4" t="s">
        <v>580</v>
      </c>
      <c r="B240" s="5" t="s">
        <v>181</v>
      </c>
      <c r="C240" s="5">
        <v>68</v>
      </c>
      <c r="D240" s="5">
        <v>95</v>
      </c>
      <c r="E240" s="5">
        <v>27</v>
      </c>
      <c r="F240" s="5">
        <v>27</v>
      </c>
      <c r="G240" s="6">
        <v>154.682308189</v>
      </c>
      <c r="H240" s="6">
        <v>145</v>
      </c>
      <c r="I240" s="7">
        <v>46065</v>
      </c>
      <c r="J240" s="5"/>
      <c r="L240" s="3">
        <v>2.5</v>
      </c>
      <c r="M240" s="3">
        <v>81</v>
      </c>
      <c r="O240" s="3" t="s">
        <v>688</v>
      </c>
      <c r="P240" s="3">
        <v>27</v>
      </c>
      <c r="Q240" s="3">
        <v>41</v>
      </c>
      <c r="R240" s="10" t="s">
        <v>692</v>
      </c>
      <c r="S240" s="3" t="s">
        <v>686</v>
      </c>
    </row>
    <row r="241" spans="1:19" s="3" customFormat="1" ht="30" customHeight="1" x14ac:dyDescent="0.3">
      <c r="A241" s="4" t="s">
        <v>581</v>
      </c>
      <c r="B241" s="5" t="s">
        <v>236</v>
      </c>
      <c r="C241" s="5">
        <v>36</v>
      </c>
      <c r="D241" s="5">
        <v>54</v>
      </c>
      <c r="E241" s="5">
        <v>18</v>
      </c>
      <c r="F241" s="5">
        <v>7</v>
      </c>
      <c r="G241" s="6">
        <v>202.78477834590001</v>
      </c>
      <c r="H241" s="6">
        <v>200</v>
      </c>
      <c r="I241" s="7">
        <v>46097</v>
      </c>
      <c r="J241" s="5"/>
      <c r="L241" s="3">
        <v>5.0999999999999996</v>
      </c>
      <c r="M241" s="3">
        <v>21</v>
      </c>
      <c r="O241" s="3" t="s">
        <v>688</v>
      </c>
      <c r="P241" s="3">
        <v>7</v>
      </c>
      <c r="Q241" s="3">
        <v>0</v>
      </c>
      <c r="R241" s="10" t="s">
        <v>692</v>
      </c>
      <c r="S241" s="3" t="s">
        <v>684</v>
      </c>
    </row>
    <row r="242" spans="1:19" s="3" customFormat="1" ht="30" customHeight="1" x14ac:dyDescent="0.3">
      <c r="A242" s="4" t="s">
        <v>582</v>
      </c>
      <c r="B242" s="5" t="s">
        <v>244</v>
      </c>
      <c r="C242" s="5">
        <v>123</v>
      </c>
      <c r="D242" s="5">
        <v>145</v>
      </c>
      <c r="E242" s="5">
        <v>22</v>
      </c>
      <c r="F242" s="5">
        <v>27</v>
      </c>
      <c r="G242" s="6">
        <v>290.05536523879999</v>
      </c>
      <c r="H242" s="6">
        <v>280</v>
      </c>
      <c r="I242" s="7">
        <v>46084</v>
      </c>
      <c r="J242" s="5"/>
      <c r="L242" s="3">
        <v>4.5999999999999996</v>
      </c>
      <c r="M242" s="3">
        <v>81</v>
      </c>
      <c r="O242" s="3" t="s">
        <v>688</v>
      </c>
      <c r="P242" s="3">
        <v>27</v>
      </c>
      <c r="Q242" s="3">
        <v>0</v>
      </c>
      <c r="R242" s="10" t="s">
        <v>692</v>
      </c>
      <c r="S242" s="3" t="s">
        <v>684</v>
      </c>
    </row>
    <row r="243" spans="1:19" s="3" customFormat="1" ht="30" customHeight="1" x14ac:dyDescent="0.3">
      <c r="A243" s="4" t="s">
        <v>583</v>
      </c>
      <c r="B243" s="5" t="s">
        <v>141</v>
      </c>
      <c r="C243" s="5">
        <v>0</v>
      </c>
      <c r="D243" s="5">
        <v>0</v>
      </c>
      <c r="E243" s="5">
        <v>0</v>
      </c>
      <c r="F243" s="5">
        <v>0</v>
      </c>
      <c r="G243" s="6">
        <v>16.2</v>
      </c>
      <c r="H243" s="6">
        <v>500</v>
      </c>
      <c r="I243" s="7">
        <v>45261</v>
      </c>
      <c r="J243" s="5"/>
      <c r="O243" s="3" t="s">
        <v>688</v>
      </c>
      <c r="P243" s="3">
        <v>0</v>
      </c>
      <c r="Q243" s="3" t="s">
        <v>689</v>
      </c>
      <c r="R243" s="10" t="s">
        <v>689</v>
      </c>
      <c r="S243" s="3" t="s">
        <v>703</v>
      </c>
    </row>
    <row r="244" spans="1:19" s="3" customFormat="1" ht="30" customHeight="1" x14ac:dyDescent="0.3">
      <c r="A244" s="4" t="s">
        <v>584</v>
      </c>
      <c r="B244" s="5" t="s">
        <v>169</v>
      </c>
      <c r="C244" s="5">
        <v>709</v>
      </c>
      <c r="D244" s="5">
        <v>780</v>
      </c>
      <c r="E244" s="5">
        <v>71</v>
      </c>
      <c r="F244" s="5">
        <v>342</v>
      </c>
      <c r="G244" s="6">
        <v>59.888604840399999</v>
      </c>
      <c r="H244" s="6">
        <v>44.1</v>
      </c>
      <c r="I244" s="7">
        <v>46114</v>
      </c>
      <c r="J244" s="5" t="s">
        <v>690</v>
      </c>
      <c r="K244" s="3">
        <v>15</v>
      </c>
      <c r="L244" s="3">
        <v>2.1</v>
      </c>
      <c r="M244" s="3">
        <v>1026</v>
      </c>
      <c r="N244" s="3">
        <v>4.3859649122807015E-2</v>
      </c>
      <c r="O244" s="3" t="s">
        <v>688</v>
      </c>
      <c r="P244" s="3">
        <v>342</v>
      </c>
      <c r="Q244" s="3">
        <v>650</v>
      </c>
      <c r="R244" s="10" t="s">
        <v>692</v>
      </c>
      <c r="S244" s="3" t="s">
        <v>686</v>
      </c>
    </row>
    <row r="245" spans="1:19" s="3" customFormat="1" ht="30" customHeight="1" x14ac:dyDescent="0.3">
      <c r="A245" s="4" t="s">
        <v>585</v>
      </c>
      <c r="B245" s="5" t="s">
        <v>256</v>
      </c>
      <c r="C245" s="5">
        <v>462</v>
      </c>
      <c r="D245" s="5">
        <v>516</v>
      </c>
      <c r="E245" s="5">
        <v>54</v>
      </c>
      <c r="F245" s="5">
        <v>81</v>
      </c>
      <c r="G245" s="6">
        <v>113.1983362738</v>
      </c>
      <c r="H245" s="6">
        <v>129</v>
      </c>
      <c r="I245" s="7">
        <v>46113</v>
      </c>
      <c r="J245" s="5"/>
      <c r="L245" s="3">
        <v>5.7</v>
      </c>
      <c r="M245" s="3">
        <v>243</v>
      </c>
      <c r="O245" s="3" t="s">
        <v>688</v>
      </c>
      <c r="P245" s="3">
        <v>81</v>
      </c>
      <c r="Q245" s="3">
        <v>0</v>
      </c>
      <c r="R245" s="10" t="s">
        <v>692</v>
      </c>
      <c r="S245" s="3" t="s">
        <v>684</v>
      </c>
    </row>
    <row r="246" spans="1:19" s="3" customFormat="1" ht="30" customHeight="1" x14ac:dyDescent="0.3">
      <c r="A246" s="4" t="s">
        <v>586</v>
      </c>
      <c r="B246" s="5" t="s">
        <v>332</v>
      </c>
      <c r="C246" s="5">
        <v>62</v>
      </c>
      <c r="D246" s="5">
        <v>80</v>
      </c>
      <c r="E246" s="5">
        <v>18</v>
      </c>
      <c r="F246" s="5">
        <v>3</v>
      </c>
      <c r="G246" s="6">
        <v>167.74443939400001</v>
      </c>
      <c r="H246" s="6">
        <v>165.48</v>
      </c>
      <c r="I246" s="7">
        <v>46113</v>
      </c>
      <c r="J246" s="5"/>
      <c r="L246" s="3">
        <v>20.7</v>
      </c>
      <c r="M246" s="3">
        <v>9</v>
      </c>
      <c r="O246" s="3" t="s">
        <v>688</v>
      </c>
      <c r="P246" s="3">
        <v>3</v>
      </c>
      <c r="Q246" s="3">
        <v>0</v>
      </c>
      <c r="R246" s="10" t="s">
        <v>692</v>
      </c>
      <c r="S246" s="3" t="s">
        <v>684</v>
      </c>
    </row>
    <row r="247" spans="1:19" s="3" customFormat="1" ht="30" customHeight="1" x14ac:dyDescent="0.3">
      <c r="A247" s="4" t="s">
        <v>587</v>
      </c>
      <c r="B247" s="5" t="s">
        <v>312</v>
      </c>
      <c r="C247" s="5">
        <v>21</v>
      </c>
      <c r="D247" s="5">
        <v>46</v>
      </c>
      <c r="E247" s="5">
        <v>25</v>
      </c>
      <c r="F247" s="5">
        <v>3</v>
      </c>
      <c r="G247" s="6">
        <v>19.488532359699999</v>
      </c>
      <c r="H247" s="6">
        <v>500</v>
      </c>
      <c r="I247" s="7">
        <v>45909</v>
      </c>
      <c r="J247" s="5"/>
      <c r="L247" s="3">
        <v>7</v>
      </c>
      <c r="M247" s="3">
        <v>9</v>
      </c>
      <c r="O247" s="3" t="s">
        <v>688</v>
      </c>
      <c r="P247" s="3">
        <v>3</v>
      </c>
      <c r="Q247" s="3">
        <v>0</v>
      </c>
      <c r="R247" s="10" t="s">
        <v>692</v>
      </c>
      <c r="S247" s="3" t="s">
        <v>684</v>
      </c>
    </row>
    <row r="248" spans="1:19" s="3" customFormat="1" ht="30" customHeight="1" x14ac:dyDescent="0.3">
      <c r="A248" s="4" t="s">
        <v>588</v>
      </c>
      <c r="B248" s="5" t="s">
        <v>155</v>
      </c>
      <c r="C248" s="5">
        <v>8</v>
      </c>
      <c r="D248" s="5">
        <v>15</v>
      </c>
      <c r="E248" s="5">
        <v>7</v>
      </c>
      <c r="F248" s="5">
        <v>16</v>
      </c>
      <c r="G248" s="6">
        <v>604.6670853764</v>
      </c>
      <c r="H248" s="6">
        <v>625</v>
      </c>
      <c r="I248" s="7">
        <v>46062</v>
      </c>
      <c r="J248" s="5"/>
      <c r="L248" s="3">
        <v>0.5</v>
      </c>
      <c r="M248" s="3">
        <v>48</v>
      </c>
      <c r="O248" s="3" t="s">
        <v>688</v>
      </c>
      <c r="P248" s="3">
        <v>16</v>
      </c>
      <c r="Q248" s="3">
        <v>56</v>
      </c>
      <c r="R248" s="10" t="s">
        <v>692</v>
      </c>
      <c r="S248" s="3" t="s">
        <v>687</v>
      </c>
    </row>
    <row r="249" spans="1:19" s="3" customFormat="1" ht="30" customHeight="1" x14ac:dyDescent="0.3">
      <c r="A249" s="4" t="s">
        <v>589</v>
      </c>
      <c r="B249" s="5" t="s">
        <v>122</v>
      </c>
      <c r="C249" s="5">
        <v>9</v>
      </c>
      <c r="D249" s="5">
        <v>23</v>
      </c>
      <c r="E249" s="5">
        <v>14</v>
      </c>
      <c r="F249" s="5">
        <v>0</v>
      </c>
      <c r="G249" s="6">
        <v>190</v>
      </c>
      <c r="H249" s="6">
        <v>190</v>
      </c>
      <c r="I249" s="7">
        <v>45919</v>
      </c>
      <c r="J249" s="5"/>
      <c r="O249" s="3" t="s">
        <v>688</v>
      </c>
      <c r="P249" s="3">
        <v>0</v>
      </c>
      <c r="Q249" s="3" t="s">
        <v>689</v>
      </c>
      <c r="R249" s="10" t="s">
        <v>689</v>
      </c>
      <c r="S249" s="3" t="s">
        <v>704</v>
      </c>
    </row>
    <row r="250" spans="1:19" s="3" customFormat="1" ht="30" customHeight="1" x14ac:dyDescent="0.3">
      <c r="A250" s="4" t="s">
        <v>590</v>
      </c>
      <c r="B250" s="5" t="s">
        <v>225</v>
      </c>
      <c r="C250" s="5">
        <v>2461</v>
      </c>
      <c r="D250" s="5">
        <v>2549</v>
      </c>
      <c r="E250" s="5">
        <v>88</v>
      </c>
      <c r="F250" s="5">
        <v>498</v>
      </c>
      <c r="G250" s="6">
        <v>16.8294538918</v>
      </c>
      <c r="H250" s="6">
        <v>16.2</v>
      </c>
      <c r="I250" s="7">
        <v>46141</v>
      </c>
      <c r="J250" s="5" t="s">
        <v>690</v>
      </c>
      <c r="K250" s="3">
        <v>60</v>
      </c>
      <c r="L250" s="3">
        <v>4.9000000000000004</v>
      </c>
      <c r="M250" s="3">
        <v>1494</v>
      </c>
      <c r="N250" s="3">
        <v>0.12048192771084337</v>
      </c>
      <c r="O250" s="3" t="s">
        <v>688</v>
      </c>
      <c r="P250" s="3">
        <v>498</v>
      </c>
      <c r="Q250" s="3">
        <v>0</v>
      </c>
      <c r="R250" s="10" t="s">
        <v>692</v>
      </c>
      <c r="S250" s="3" t="s">
        <v>684</v>
      </c>
    </row>
    <row r="251" spans="1:19" s="3" customFormat="1" ht="30" customHeight="1" x14ac:dyDescent="0.3">
      <c r="A251" s="4" t="s">
        <v>591</v>
      </c>
      <c r="B251" s="5" t="s">
        <v>180</v>
      </c>
      <c r="C251" s="5">
        <v>17</v>
      </c>
      <c r="D251" s="5">
        <v>20</v>
      </c>
      <c r="E251" s="5">
        <v>3</v>
      </c>
      <c r="F251" s="5">
        <v>5</v>
      </c>
      <c r="G251" s="6">
        <v>319.88210181310001</v>
      </c>
      <c r="H251" s="6">
        <v>349.99</v>
      </c>
      <c r="I251" s="7">
        <v>46100</v>
      </c>
      <c r="J251" s="5"/>
      <c r="L251" s="3">
        <v>3.4</v>
      </c>
      <c r="M251" s="3">
        <v>15</v>
      </c>
      <c r="O251" s="3" t="s">
        <v>688</v>
      </c>
      <c r="P251" s="3">
        <v>5</v>
      </c>
      <c r="Q251" s="3">
        <v>0</v>
      </c>
      <c r="R251" s="10" t="s">
        <v>692</v>
      </c>
      <c r="S251" s="3" t="s">
        <v>684</v>
      </c>
    </row>
    <row r="252" spans="1:19" s="3" customFormat="1" ht="30" customHeight="1" x14ac:dyDescent="0.3">
      <c r="A252" s="4" t="s">
        <v>592</v>
      </c>
      <c r="B252" s="5" t="s">
        <v>161</v>
      </c>
      <c r="C252" s="5">
        <v>24</v>
      </c>
      <c r="D252" s="5">
        <v>36</v>
      </c>
      <c r="E252" s="5">
        <v>12</v>
      </c>
      <c r="F252" s="5">
        <v>15</v>
      </c>
      <c r="G252" s="6">
        <v>345.63240076</v>
      </c>
      <c r="H252" s="6">
        <v>349.99</v>
      </c>
      <c r="I252" s="7">
        <v>46139</v>
      </c>
      <c r="J252" s="5"/>
      <c r="L252" s="3">
        <v>1.6</v>
      </c>
      <c r="M252" s="3">
        <v>45</v>
      </c>
      <c r="O252" s="3" t="s">
        <v>688</v>
      </c>
      <c r="P252" s="3">
        <v>15</v>
      </c>
      <c r="Q252" s="3">
        <v>36</v>
      </c>
      <c r="R252" s="10" t="s">
        <v>692</v>
      </c>
      <c r="S252" s="3" t="s">
        <v>686</v>
      </c>
    </row>
    <row r="253" spans="1:19" s="3" customFormat="1" ht="30" customHeight="1" x14ac:dyDescent="0.3">
      <c r="A253" s="4" t="s">
        <v>593</v>
      </c>
      <c r="B253" s="5" t="s">
        <v>62</v>
      </c>
      <c r="C253" s="5">
        <v>0</v>
      </c>
      <c r="D253" s="5">
        <v>0</v>
      </c>
      <c r="E253" s="5">
        <v>0</v>
      </c>
      <c r="F253" s="5">
        <v>0</v>
      </c>
      <c r="G253" s="6">
        <v>201.4</v>
      </c>
      <c r="H253" s="6">
        <v>212</v>
      </c>
      <c r="I253" s="7">
        <v>45012</v>
      </c>
      <c r="J253" s="5"/>
      <c r="O253" s="3" t="s">
        <v>688</v>
      </c>
      <c r="P253" s="3">
        <v>0</v>
      </c>
      <c r="Q253" s="3" t="s">
        <v>689</v>
      </c>
      <c r="R253" s="10" t="s">
        <v>689</v>
      </c>
      <c r="S253" s="3" t="s">
        <v>703</v>
      </c>
    </row>
    <row r="254" spans="1:19" s="3" customFormat="1" ht="30" customHeight="1" x14ac:dyDescent="0.3">
      <c r="A254" s="4" t="s">
        <v>594</v>
      </c>
      <c r="B254" s="5" t="s">
        <v>290</v>
      </c>
      <c r="C254" s="5">
        <v>20</v>
      </c>
      <c r="D254" s="5">
        <v>41</v>
      </c>
      <c r="E254" s="5">
        <v>21</v>
      </c>
      <c r="F254" s="5">
        <v>6</v>
      </c>
      <c r="G254" s="6">
        <v>86.496751084600007</v>
      </c>
      <c r="H254" s="6">
        <v>80</v>
      </c>
      <c r="I254" s="7">
        <v>46001</v>
      </c>
      <c r="J254" s="5"/>
      <c r="L254" s="3">
        <v>3.3</v>
      </c>
      <c r="M254" s="3">
        <v>18</v>
      </c>
      <c r="O254" s="3" t="s">
        <v>688</v>
      </c>
      <c r="P254" s="3">
        <v>6</v>
      </c>
      <c r="Q254" s="3">
        <v>0</v>
      </c>
      <c r="R254" s="10" t="s">
        <v>692</v>
      </c>
      <c r="S254" s="3" t="s">
        <v>684</v>
      </c>
    </row>
    <row r="255" spans="1:19" s="3" customFormat="1" ht="30" customHeight="1" x14ac:dyDescent="0.3">
      <c r="A255" s="4" t="s">
        <v>595</v>
      </c>
      <c r="B255" s="5" t="s">
        <v>70</v>
      </c>
      <c r="C255" s="5">
        <v>14</v>
      </c>
      <c r="D255" s="5">
        <v>16</v>
      </c>
      <c r="E255" s="5">
        <v>2</v>
      </c>
      <c r="F255" s="5">
        <v>0</v>
      </c>
      <c r="G255" s="6">
        <v>170</v>
      </c>
      <c r="H255" s="6">
        <v>170</v>
      </c>
      <c r="I255" s="7">
        <v>45834</v>
      </c>
      <c r="J255" s="5"/>
      <c r="O255" s="3" t="s">
        <v>688</v>
      </c>
      <c r="P255" s="3">
        <v>0</v>
      </c>
      <c r="Q255" s="3" t="s">
        <v>689</v>
      </c>
      <c r="R255" s="10" t="s">
        <v>689</v>
      </c>
      <c r="S255" s="3" t="s">
        <v>704</v>
      </c>
    </row>
    <row r="256" spans="1:19" s="3" customFormat="1" ht="30" customHeight="1" x14ac:dyDescent="0.3">
      <c r="A256" s="4" t="s">
        <v>596</v>
      </c>
      <c r="B256" s="5" t="s">
        <v>160</v>
      </c>
      <c r="C256" s="5">
        <v>16</v>
      </c>
      <c r="D256" s="5">
        <v>24</v>
      </c>
      <c r="E256" s="5">
        <v>8</v>
      </c>
      <c r="F256" s="5">
        <v>12</v>
      </c>
      <c r="G256" s="6">
        <v>343.89337456940001</v>
      </c>
      <c r="H256" s="6">
        <v>342</v>
      </c>
      <c r="I256" s="7">
        <v>46139</v>
      </c>
      <c r="J256" s="5"/>
      <c r="L256" s="3">
        <v>1.3</v>
      </c>
      <c r="M256" s="3">
        <v>36</v>
      </c>
      <c r="O256" s="3" t="s">
        <v>688</v>
      </c>
      <c r="P256" s="3">
        <v>12</v>
      </c>
      <c r="Q256" s="3">
        <v>33</v>
      </c>
      <c r="R256" s="10" t="s">
        <v>692</v>
      </c>
      <c r="S256" s="3" t="s">
        <v>686</v>
      </c>
    </row>
    <row r="257" spans="1:19" s="3" customFormat="1" ht="30" customHeight="1" x14ac:dyDescent="0.3">
      <c r="A257" s="4" t="s">
        <v>597</v>
      </c>
      <c r="B257" s="5" t="s">
        <v>197</v>
      </c>
      <c r="C257" s="5">
        <v>10</v>
      </c>
      <c r="D257" s="5">
        <v>15</v>
      </c>
      <c r="E257" s="5">
        <v>5</v>
      </c>
      <c r="F257" s="5">
        <v>5</v>
      </c>
      <c r="G257" s="6">
        <v>183</v>
      </c>
      <c r="H257" s="6">
        <v>183</v>
      </c>
      <c r="I257" s="7">
        <v>46107</v>
      </c>
      <c r="J257" s="5" t="s">
        <v>690</v>
      </c>
      <c r="K257" s="3">
        <v>2</v>
      </c>
      <c r="L257" s="3">
        <v>2</v>
      </c>
      <c r="M257" s="3">
        <v>15</v>
      </c>
      <c r="N257" s="3">
        <v>0.4</v>
      </c>
      <c r="O257" s="3" t="s">
        <v>688</v>
      </c>
      <c r="P257" s="3">
        <v>5</v>
      </c>
      <c r="Q257" s="3">
        <v>10</v>
      </c>
      <c r="R257" s="10" t="s">
        <v>692</v>
      </c>
      <c r="S257" s="3" t="s">
        <v>686</v>
      </c>
    </row>
    <row r="258" spans="1:19" s="3" customFormat="1" ht="30" customHeight="1" x14ac:dyDescent="0.3">
      <c r="A258" s="4" t="s">
        <v>598</v>
      </c>
      <c r="B258" s="5" t="s">
        <v>207</v>
      </c>
      <c r="C258" s="5">
        <v>26</v>
      </c>
      <c r="D258" s="5">
        <v>40</v>
      </c>
      <c r="E258" s="5">
        <v>14</v>
      </c>
      <c r="F258" s="5">
        <v>9</v>
      </c>
      <c r="G258" s="6">
        <v>177.76061437019999</v>
      </c>
      <c r="H258" s="6">
        <v>183</v>
      </c>
      <c r="I258" s="7">
        <v>46125</v>
      </c>
      <c r="J258" s="5"/>
      <c r="L258" s="3">
        <v>2.9</v>
      </c>
      <c r="M258" s="3">
        <v>27</v>
      </c>
      <c r="O258" s="3" t="s">
        <v>688</v>
      </c>
      <c r="P258" s="3">
        <v>9</v>
      </c>
      <c r="Q258" s="3">
        <v>10</v>
      </c>
      <c r="R258" s="10" t="s">
        <v>692</v>
      </c>
      <c r="S258" s="3" t="s">
        <v>686</v>
      </c>
    </row>
    <row r="259" spans="1:19" s="3" customFormat="1" ht="30" customHeight="1" x14ac:dyDescent="0.3">
      <c r="A259" s="4" t="s">
        <v>599</v>
      </c>
      <c r="B259" s="5" t="s">
        <v>140</v>
      </c>
      <c r="C259" s="5">
        <v>11</v>
      </c>
      <c r="D259" s="5">
        <v>23</v>
      </c>
      <c r="E259" s="5">
        <v>12</v>
      </c>
      <c r="F259" s="5">
        <v>0</v>
      </c>
      <c r="G259" s="6">
        <v>174</v>
      </c>
      <c r="H259" s="6">
        <v>174</v>
      </c>
      <c r="I259" s="7">
        <v>45974</v>
      </c>
      <c r="J259" s="5"/>
      <c r="O259" s="3" t="s">
        <v>688</v>
      </c>
      <c r="P259" s="3">
        <v>0</v>
      </c>
      <c r="Q259" s="3" t="s">
        <v>689</v>
      </c>
      <c r="R259" s="10" t="s">
        <v>689</v>
      </c>
      <c r="S259" s="3" t="s">
        <v>704</v>
      </c>
    </row>
    <row r="260" spans="1:19" s="3" customFormat="1" ht="30" customHeight="1" x14ac:dyDescent="0.3">
      <c r="A260" s="4" t="s">
        <v>600</v>
      </c>
      <c r="B260" s="5" t="s">
        <v>99</v>
      </c>
      <c r="C260" s="5">
        <v>1</v>
      </c>
      <c r="D260" s="5">
        <v>7</v>
      </c>
      <c r="E260" s="5">
        <v>6</v>
      </c>
      <c r="F260" s="5">
        <v>0</v>
      </c>
      <c r="G260" s="6">
        <v>174</v>
      </c>
      <c r="H260" s="6">
        <v>174</v>
      </c>
      <c r="I260" s="7">
        <v>45974</v>
      </c>
      <c r="J260" s="5"/>
      <c r="O260" s="3" t="s">
        <v>688</v>
      </c>
      <c r="P260" s="3">
        <v>0</v>
      </c>
      <c r="Q260" s="3" t="s">
        <v>689</v>
      </c>
      <c r="R260" s="10" t="s">
        <v>689</v>
      </c>
      <c r="S260" s="3" t="s">
        <v>704</v>
      </c>
    </row>
    <row r="261" spans="1:19" s="3" customFormat="1" ht="30" customHeight="1" x14ac:dyDescent="0.3">
      <c r="A261" s="4" t="s">
        <v>601</v>
      </c>
      <c r="B261" s="5" t="s">
        <v>318</v>
      </c>
      <c r="C261" s="5">
        <v>12</v>
      </c>
      <c r="D261" s="5">
        <v>35</v>
      </c>
      <c r="E261" s="5">
        <v>23</v>
      </c>
      <c r="F261" s="5">
        <v>2</v>
      </c>
      <c r="G261" s="6">
        <v>168.45709945190001</v>
      </c>
      <c r="H261" s="6">
        <v>180</v>
      </c>
      <c r="I261" s="7">
        <v>45975</v>
      </c>
      <c r="J261" s="5"/>
      <c r="L261" s="3">
        <v>6</v>
      </c>
      <c r="M261" s="3">
        <v>6</v>
      </c>
      <c r="O261" s="3" t="s">
        <v>688</v>
      </c>
      <c r="P261" s="3">
        <v>2</v>
      </c>
      <c r="Q261" s="3">
        <v>0</v>
      </c>
      <c r="R261" s="10" t="s">
        <v>692</v>
      </c>
      <c r="S261" s="3" t="s">
        <v>684</v>
      </c>
    </row>
    <row r="262" spans="1:19" s="3" customFormat="1" ht="30" customHeight="1" x14ac:dyDescent="0.3">
      <c r="A262" s="4" t="s">
        <v>602</v>
      </c>
      <c r="B262" s="5" t="s">
        <v>223</v>
      </c>
      <c r="C262" s="5">
        <v>815</v>
      </c>
      <c r="D262" s="5">
        <v>917</v>
      </c>
      <c r="E262" s="5">
        <v>102</v>
      </c>
      <c r="F262" s="5">
        <v>168</v>
      </c>
      <c r="G262" s="6">
        <v>41.186324348799999</v>
      </c>
      <c r="H262" s="6">
        <v>39</v>
      </c>
      <c r="I262" s="7">
        <v>46135</v>
      </c>
      <c r="J262" s="5"/>
      <c r="L262" s="3">
        <v>4.9000000000000004</v>
      </c>
      <c r="M262" s="3">
        <v>504</v>
      </c>
      <c r="O262" s="3" t="s">
        <v>688</v>
      </c>
      <c r="P262" s="3">
        <v>168</v>
      </c>
      <c r="Q262" s="3">
        <v>0</v>
      </c>
      <c r="R262" s="10" t="s">
        <v>692</v>
      </c>
      <c r="S262" s="3" t="s">
        <v>684</v>
      </c>
    </row>
    <row r="263" spans="1:19" s="3" customFormat="1" ht="30" customHeight="1" x14ac:dyDescent="0.3">
      <c r="A263" s="4" t="s">
        <v>603</v>
      </c>
      <c r="B263" s="5" t="s">
        <v>134</v>
      </c>
      <c r="C263" s="5">
        <v>1</v>
      </c>
      <c r="D263" s="5">
        <v>2</v>
      </c>
      <c r="E263" s="5">
        <v>1</v>
      </c>
      <c r="F263" s="5">
        <v>0</v>
      </c>
      <c r="G263" s="6">
        <v>600</v>
      </c>
      <c r="H263" s="6">
        <v>600</v>
      </c>
      <c r="I263" s="7">
        <v>45695</v>
      </c>
      <c r="J263" s="5"/>
      <c r="O263" s="3" t="s">
        <v>688</v>
      </c>
      <c r="P263" s="3">
        <v>0</v>
      </c>
      <c r="Q263" s="3" t="s">
        <v>689</v>
      </c>
      <c r="R263" s="10" t="s">
        <v>689</v>
      </c>
      <c r="S263" s="3" t="s">
        <v>704</v>
      </c>
    </row>
    <row r="264" spans="1:19" s="3" customFormat="1" ht="30" customHeight="1" x14ac:dyDescent="0.3">
      <c r="A264" s="4" t="s">
        <v>604</v>
      </c>
      <c r="B264" s="5" t="s">
        <v>21</v>
      </c>
      <c r="C264" s="5">
        <v>1</v>
      </c>
      <c r="D264" s="5">
        <v>2</v>
      </c>
      <c r="E264" s="5">
        <v>1</v>
      </c>
      <c r="F264" s="5">
        <v>0</v>
      </c>
      <c r="G264" s="6">
        <v>946.85</v>
      </c>
      <c r="H264" s="6">
        <v>946.85</v>
      </c>
      <c r="I264" s="7">
        <v>45007</v>
      </c>
      <c r="J264" s="5"/>
      <c r="O264" s="3" t="s">
        <v>688</v>
      </c>
      <c r="P264" s="3">
        <v>0</v>
      </c>
      <c r="Q264" s="3" t="s">
        <v>689</v>
      </c>
      <c r="R264" s="10" t="s">
        <v>689</v>
      </c>
      <c r="S264" s="3" t="s">
        <v>704</v>
      </c>
    </row>
    <row r="265" spans="1:19" s="3" customFormat="1" ht="30" customHeight="1" x14ac:dyDescent="0.3">
      <c r="A265" s="4" t="s">
        <v>605</v>
      </c>
      <c r="B265" s="5" t="s">
        <v>49</v>
      </c>
      <c r="C265" s="5">
        <v>3</v>
      </c>
      <c r="D265" s="5">
        <v>4</v>
      </c>
      <c r="E265" s="5">
        <v>1</v>
      </c>
      <c r="F265" s="5">
        <v>0</v>
      </c>
      <c r="G265" s="6">
        <v>600</v>
      </c>
      <c r="H265" s="6">
        <v>600</v>
      </c>
      <c r="I265" s="7">
        <v>45771</v>
      </c>
      <c r="J265" s="5"/>
      <c r="O265" s="3" t="s">
        <v>688</v>
      </c>
      <c r="P265" s="3">
        <v>0</v>
      </c>
      <c r="Q265" s="3" t="s">
        <v>689</v>
      </c>
      <c r="R265" s="10" t="s">
        <v>689</v>
      </c>
      <c r="S265" s="3" t="s">
        <v>704</v>
      </c>
    </row>
    <row r="266" spans="1:19" s="3" customFormat="1" ht="30" customHeight="1" x14ac:dyDescent="0.3">
      <c r="A266" s="4" t="s">
        <v>606</v>
      </c>
      <c r="B266" s="5" t="s">
        <v>22</v>
      </c>
      <c r="C266" s="5">
        <v>5</v>
      </c>
      <c r="D266" s="5">
        <v>7</v>
      </c>
      <c r="E266" s="5">
        <v>2</v>
      </c>
      <c r="F266" s="5">
        <v>0</v>
      </c>
      <c r="G266" s="6">
        <v>1305.2742857143</v>
      </c>
      <c r="H266" s="6">
        <v>1128.5999999999999</v>
      </c>
      <c r="I266" s="7">
        <v>46077</v>
      </c>
      <c r="J266" s="5"/>
      <c r="O266" s="3" t="s">
        <v>688</v>
      </c>
      <c r="P266" s="3">
        <v>0</v>
      </c>
      <c r="Q266" s="3" t="s">
        <v>689</v>
      </c>
      <c r="R266" s="10" t="s">
        <v>689</v>
      </c>
      <c r="S266" s="3" t="s">
        <v>704</v>
      </c>
    </row>
    <row r="267" spans="1:19" s="3" customFormat="1" ht="30" customHeight="1" x14ac:dyDescent="0.3">
      <c r="A267" s="4" t="s">
        <v>607</v>
      </c>
      <c r="B267" s="5" t="s">
        <v>144</v>
      </c>
      <c r="C267" s="5">
        <v>3</v>
      </c>
      <c r="D267" s="5">
        <v>5</v>
      </c>
      <c r="E267" s="5">
        <v>2</v>
      </c>
      <c r="F267" s="5">
        <v>0</v>
      </c>
      <c r="G267" s="6">
        <v>520.41399999999999</v>
      </c>
      <c r="H267" s="6">
        <v>467.51</v>
      </c>
      <c r="I267" s="7">
        <v>45987</v>
      </c>
      <c r="J267" s="5"/>
      <c r="O267" s="3" t="s">
        <v>688</v>
      </c>
      <c r="P267" s="3">
        <v>0</v>
      </c>
      <c r="Q267" s="3" t="s">
        <v>689</v>
      </c>
      <c r="R267" s="10" t="s">
        <v>689</v>
      </c>
      <c r="S267" s="3" t="s">
        <v>704</v>
      </c>
    </row>
    <row r="268" spans="1:19" s="3" customFormat="1" ht="30" customHeight="1" x14ac:dyDescent="0.3">
      <c r="A268" s="4" t="s">
        <v>608</v>
      </c>
      <c r="B268" s="5" t="s">
        <v>50</v>
      </c>
      <c r="C268" s="5">
        <v>2</v>
      </c>
      <c r="D268" s="5">
        <v>3</v>
      </c>
      <c r="E268" s="5">
        <v>1</v>
      </c>
      <c r="F268" s="5">
        <v>0</v>
      </c>
      <c r="G268" s="6">
        <v>836.0835185185</v>
      </c>
      <c r="H268" s="6">
        <v>592</v>
      </c>
      <c r="I268" s="7">
        <v>46105</v>
      </c>
      <c r="J268" s="5"/>
      <c r="O268" s="3" t="s">
        <v>688</v>
      </c>
      <c r="P268" s="3">
        <v>0</v>
      </c>
      <c r="Q268" s="3" t="s">
        <v>689</v>
      </c>
      <c r="R268" s="10" t="s">
        <v>689</v>
      </c>
      <c r="S268" s="3" t="s">
        <v>704</v>
      </c>
    </row>
    <row r="269" spans="1:19" s="3" customFormat="1" ht="30" customHeight="1" x14ac:dyDescent="0.3">
      <c r="A269" s="4" t="s">
        <v>609</v>
      </c>
      <c r="B269" s="5" t="s">
        <v>211</v>
      </c>
      <c r="C269" s="5">
        <v>7</v>
      </c>
      <c r="D269" s="5">
        <v>9</v>
      </c>
      <c r="E269" s="5">
        <v>2</v>
      </c>
      <c r="F269" s="5">
        <v>2</v>
      </c>
      <c r="G269" s="6">
        <v>488.1433822107</v>
      </c>
      <c r="H269" s="6">
        <v>468.46</v>
      </c>
      <c r="I269" s="7">
        <v>46108</v>
      </c>
      <c r="J269" s="5"/>
      <c r="L269" s="3">
        <v>3.5</v>
      </c>
      <c r="M269" s="3">
        <v>6</v>
      </c>
      <c r="O269" s="3" t="s">
        <v>688</v>
      </c>
      <c r="P269" s="3">
        <v>2</v>
      </c>
      <c r="Q269" s="3">
        <v>0</v>
      </c>
      <c r="R269" s="10" t="s">
        <v>692</v>
      </c>
      <c r="S269" s="3" t="s">
        <v>684</v>
      </c>
    </row>
    <row r="270" spans="1:19" s="3" customFormat="1" ht="30" customHeight="1" x14ac:dyDescent="0.3">
      <c r="A270" s="4" t="s">
        <v>610</v>
      </c>
      <c r="B270" s="5" t="s">
        <v>183</v>
      </c>
      <c r="C270" s="5">
        <v>847</v>
      </c>
      <c r="D270" s="5">
        <v>909</v>
      </c>
      <c r="E270" s="5">
        <v>62</v>
      </c>
      <c r="F270" s="5">
        <v>278</v>
      </c>
      <c r="G270" s="6">
        <v>50.697138262199999</v>
      </c>
      <c r="H270" s="6">
        <v>47.48</v>
      </c>
      <c r="I270" s="7">
        <v>46105</v>
      </c>
      <c r="J270" s="5" t="s">
        <v>690</v>
      </c>
      <c r="K270" s="3">
        <v>20</v>
      </c>
      <c r="L270" s="3">
        <v>3</v>
      </c>
      <c r="M270" s="3">
        <v>834</v>
      </c>
      <c r="N270" s="3">
        <v>7.1942446043165464E-2</v>
      </c>
      <c r="O270" s="3" t="s">
        <v>688</v>
      </c>
      <c r="P270" s="3">
        <v>278</v>
      </c>
      <c r="Q270" s="3">
        <v>278</v>
      </c>
      <c r="R270" s="10" t="s">
        <v>692</v>
      </c>
      <c r="S270" s="3" t="s">
        <v>686</v>
      </c>
    </row>
    <row r="271" spans="1:19" s="3" customFormat="1" ht="30" customHeight="1" x14ac:dyDescent="0.3">
      <c r="A271" s="4" t="s">
        <v>611</v>
      </c>
      <c r="B271" s="5" t="s">
        <v>81</v>
      </c>
      <c r="C271" s="5">
        <v>44</v>
      </c>
      <c r="D271" s="5">
        <v>44</v>
      </c>
      <c r="E271" s="5">
        <v>0</v>
      </c>
      <c r="F271" s="5">
        <v>0</v>
      </c>
      <c r="G271" s="6">
        <v>113.7163604854</v>
      </c>
      <c r="H271" s="6">
        <v>159.13</v>
      </c>
      <c r="I271" s="7">
        <v>45951</v>
      </c>
      <c r="J271" s="5"/>
      <c r="O271" s="3" t="s">
        <v>688</v>
      </c>
      <c r="P271" s="3">
        <v>0</v>
      </c>
      <c r="Q271" s="3" t="s">
        <v>689</v>
      </c>
      <c r="R271" s="10" t="s">
        <v>689</v>
      </c>
      <c r="S271" s="3" t="s">
        <v>704</v>
      </c>
    </row>
    <row r="272" spans="1:19" s="3" customFormat="1" ht="30" customHeight="1" x14ac:dyDescent="0.3">
      <c r="A272" s="4" t="s">
        <v>612</v>
      </c>
      <c r="B272" s="5" t="s">
        <v>271</v>
      </c>
      <c r="C272" s="5">
        <v>67</v>
      </c>
      <c r="D272" s="5">
        <v>76</v>
      </c>
      <c r="E272" s="5">
        <v>9</v>
      </c>
      <c r="F272" s="5">
        <v>9</v>
      </c>
      <c r="G272" s="6">
        <v>141.3117044752</v>
      </c>
      <c r="H272" s="6">
        <v>159</v>
      </c>
      <c r="I272" s="7">
        <v>45947</v>
      </c>
      <c r="J272" s="5"/>
      <c r="L272" s="3">
        <v>7.4</v>
      </c>
      <c r="M272" s="3">
        <v>27</v>
      </c>
      <c r="O272" s="3" t="s">
        <v>688</v>
      </c>
      <c r="P272" s="3">
        <v>9</v>
      </c>
      <c r="Q272" s="3">
        <v>0</v>
      </c>
      <c r="R272" s="10" t="s">
        <v>692</v>
      </c>
      <c r="S272" s="3" t="s">
        <v>684</v>
      </c>
    </row>
    <row r="273" spans="1:19" s="3" customFormat="1" ht="30" customHeight="1" x14ac:dyDescent="0.3">
      <c r="A273" s="4" t="s">
        <v>613</v>
      </c>
      <c r="B273" s="5" t="s">
        <v>286</v>
      </c>
      <c r="C273" s="5">
        <v>7</v>
      </c>
      <c r="D273" s="5">
        <v>10</v>
      </c>
      <c r="E273" s="5">
        <v>3</v>
      </c>
      <c r="F273" s="5">
        <v>2</v>
      </c>
      <c r="G273" s="6">
        <v>540.07601549000003</v>
      </c>
      <c r="H273" s="6">
        <v>550</v>
      </c>
      <c r="I273" s="7">
        <v>45881</v>
      </c>
      <c r="J273" s="5"/>
      <c r="L273" s="3">
        <v>3.5</v>
      </c>
      <c r="M273" s="3">
        <v>6</v>
      </c>
      <c r="O273" s="3" t="s">
        <v>688</v>
      </c>
      <c r="P273" s="3">
        <v>2</v>
      </c>
      <c r="Q273" s="3">
        <v>0</v>
      </c>
      <c r="R273" s="10" t="s">
        <v>692</v>
      </c>
      <c r="S273" s="3" t="s">
        <v>684</v>
      </c>
    </row>
    <row r="274" spans="1:19" s="3" customFormat="1" ht="30" customHeight="1" x14ac:dyDescent="0.3">
      <c r="A274" s="4" t="s">
        <v>614</v>
      </c>
      <c r="B274" s="5" t="s">
        <v>298</v>
      </c>
      <c r="C274" s="5">
        <v>19</v>
      </c>
      <c r="D274" s="5">
        <v>33</v>
      </c>
      <c r="E274" s="5">
        <v>14</v>
      </c>
      <c r="F274" s="5">
        <v>2</v>
      </c>
      <c r="G274" s="6">
        <v>78.260087608600003</v>
      </c>
      <c r="H274" s="6">
        <v>45</v>
      </c>
      <c r="I274" s="7">
        <v>46093</v>
      </c>
      <c r="J274" s="5"/>
      <c r="L274" s="3">
        <v>9.5</v>
      </c>
      <c r="M274" s="3">
        <v>6</v>
      </c>
      <c r="O274" s="3" t="s">
        <v>688</v>
      </c>
      <c r="P274" s="3">
        <v>2</v>
      </c>
      <c r="Q274" s="3">
        <v>0</v>
      </c>
      <c r="R274" s="10" t="s">
        <v>692</v>
      </c>
      <c r="S274" s="3" t="s">
        <v>684</v>
      </c>
    </row>
    <row r="275" spans="1:19" s="3" customFormat="1" ht="30" customHeight="1" x14ac:dyDescent="0.3">
      <c r="A275" s="4" t="s">
        <v>615</v>
      </c>
      <c r="B275" s="5" t="s">
        <v>78</v>
      </c>
      <c r="C275" s="5">
        <v>0</v>
      </c>
      <c r="D275" s="5">
        <v>0</v>
      </c>
      <c r="E275" s="5">
        <v>0</v>
      </c>
      <c r="F275" s="5">
        <v>0</v>
      </c>
      <c r="G275" s="6">
        <v>93.666666666699996</v>
      </c>
      <c r="H275" s="6">
        <v>94</v>
      </c>
      <c r="I275" s="7">
        <v>45168</v>
      </c>
      <c r="J275" s="5"/>
      <c r="O275" s="3" t="s">
        <v>688</v>
      </c>
      <c r="P275" s="3">
        <v>0</v>
      </c>
      <c r="Q275" s="3" t="s">
        <v>689</v>
      </c>
      <c r="R275" s="10" t="s">
        <v>689</v>
      </c>
      <c r="S275" s="3" t="s">
        <v>703</v>
      </c>
    </row>
    <row r="276" spans="1:19" s="3" customFormat="1" ht="30" customHeight="1" x14ac:dyDescent="0.3">
      <c r="A276" s="4" t="s">
        <v>616</v>
      </c>
      <c r="B276" s="5" t="s">
        <v>186</v>
      </c>
      <c r="C276" s="5">
        <v>221</v>
      </c>
      <c r="D276" s="5">
        <v>286</v>
      </c>
      <c r="E276" s="5">
        <v>65</v>
      </c>
      <c r="F276" s="5">
        <v>83</v>
      </c>
      <c r="G276" s="6">
        <v>43.439568336299999</v>
      </c>
      <c r="H276" s="6">
        <v>44.99</v>
      </c>
      <c r="I276" s="7">
        <v>45992</v>
      </c>
      <c r="J276" s="5" t="s">
        <v>690</v>
      </c>
      <c r="K276" s="3">
        <v>5</v>
      </c>
      <c r="L276" s="3">
        <v>2.7</v>
      </c>
      <c r="M276" s="3">
        <v>249</v>
      </c>
      <c r="N276" s="3">
        <v>6.0240963855421686E-2</v>
      </c>
      <c r="O276" s="3" t="s">
        <v>688</v>
      </c>
      <c r="P276" s="3">
        <v>83</v>
      </c>
      <c r="Q276" s="3">
        <v>108</v>
      </c>
      <c r="R276" s="10" t="s">
        <v>692</v>
      </c>
      <c r="S276" s="3" t="s">
        <v>686</v>
      </c>
    </row>
    <row r="277" spans="1:19" s="3" customFormat="1" ht="30" customHeight="1" x14ac:dyDescent="0.3">
      <c r="A277" s="4" t="s">
        <v>617</v>
      </c>
      <c r="B277" s="5" t="s">
        <v>276</v>
      </c>
      <c r="C277" s="5">
        <v>808</v>
      </c>
      <c r="D277" s="5">
        <v>890</v>
      </c>
      <c r="E277" s="5">
        <v>82</v>
      </c>
      <c r="F277" s="5">
        <v>104</v>
      </c>
      <c r="G277" s="6">
        <v>44.595673178299997</v>
      </c>
      <c r="H277" s="6">
        <v>44.99</v>
      </c>
      <c r="I277" s="7">
        <v>46051</v>
      </c>
      <c r="J277" s="5" t="s">
        <v>690</v>
      </c>
      <c r="K277" s="3">
        <v>25</v>
      </c>
      <c r="L277" s="3">
        <v>7.8</v>
      </c>
      <c r="M277" s="3">
        <v>312</v>
      </c>
      <c r="N277" s="3">
        <v>0.24038461538461539</v>
      </c>
      <c r="O277" s="3" t="s">
        <v>688</v>
      </c>
      <c r="P277" s="3">
        <v>104</v>
      </c>
      <c r="Q277" s="3">
        <v>0</v>
      </c>
      <c r="R277" s="10" t="s">
        <v>692</v>
      </c>
      <c r="S277" s="3" t="s">
        <v>684</v>
      </c>
    </row>
    <row r="278" spans="1:19" s="3" customFormat="1" ht="30" customHeight="1" x14ac:dyDescent="0.3">
      <c r="A278" s="4" t="s">
        <v>618</v>
      </c>
      <c r="B278" s="5" t="s">
        <v>226</v>
      </c>
      <c r="C278" s="5">
        <v>184</v>
      </c>
      <c r="D278" s="5">
        <v>219</v>
      </c>
      <c r="E278" s="5">
        <v>35</v>
      </c>
      <c r="F278" s="5">
        <v>43</v>
      </c>
      <c r="G278" s="6">
        <v>30.965239239900001</v>
      </c>
      <c r="H278" s="6">
        <v>23.69</v>
      </c>
      <c r="I278" s="7">
        <v>46065</v>
      </c>
      <c r="J278" s="5" t="s">
        <v>690</v>
      </c>
      <c r="K278" s="3">
        <v>10</v>
      </c>
      <c r="L278" s="3">
        <v>4.3</v>
      </c>
      <c r="M278" s="3">
        <v>129</v>
      </c>
      <c r="N278" s="3">
        <v>0.23255813953488372</v>
      </c>
      <c r="O278" s="3" t="s">
        <v>688</v>
      </c>
      <c r="P278" s="3">
        <v>43</v>
      </c>
      <c r="Q278" s="3">
        <v>0</v>
      </c>
      <c r="R278" s="10" t="s">
        <v>692</v>
      </c>
      <c r="S278" s="3" t="s">
        <v>684</v>
      </c>
    </row>
    <row r="279" spans="1:19" s="3" customFormat="1" ht="30" customHeight="1" x14ac:dyDescent="0.3">
      <c r="A279" s="4" t="s">
        <v>619</v>
      </c>
      <c r="B279" s="5" t="s">
        <v>234</v>
      </c>
      <c r="C279" s="5">
        <v>58</v>
      </c>
      <c r="D279" s="5">
        <v>80</v>
      </c>
      <c r="E279" s="5">
        <v>22</v>
      </c>
      <c r="F279" s="5">
        <v>21</v>
      </c>
      <c r="G279" s="6">
        <v>28.5356169384</v>
      </c>
      <c r="H279" s="6">
        <v>29.57</v>
      </c>
      <c r="I279" s="7">
        <v>46076</v>
      </c>
      <c r="J279" s="5" t="s">
        <v>690</v>
      </c>
      <c r="K279" s="3">
        <v>2</v>
      </c>
      <c r="L279" s="3">
        <v>2.8</v>
      </c>
      <c r="M279" s="3">
        <v>63</v>
      </c>
      <c r="N279" s="3">
        <v>9.5238095238095233E-2</v>
      </c>
      <c r="O279" s="3" t="s">
        <v>688</v>
      </c>
      <c r="P279" s="3">
        <v>21</v>
      </c>
      <c r="Q279" s="3">
        <v>26</v>
      </c>
      <c r="R279" s="10" t="s">
        <v>692</v>
      </c>
      <c r="S279" s="3" t="s">
        <v>686</v>
      </c>
    </row>
    <row r="280" spans="1:19" s="3" customFormat="1" ht="30" customHeight="1" x14ac:dyDescent="0.3">
      <c r="A280" s="4" t="s">
        <v>620</v>
      </c>
      <c r="B280" s="5" t="s">
        <v>272</v>
      </c>
      <c r="C280" s="5">
        <v>13</v>
      </c>
      <c r="D280" s="5">
        <v>23</v>
      </c>
      <c r="E280" s="5">
        <v>10</v>
      </c>
      <c r="F280" s="5">
        <v>4</v>
      </c>
      <c r="G280" s="6">
        <v>44.493016580800003</v>
      </c>
      <c r="H280" s="6">
        <v>45</v>
      </c>
      <c r="I280" s="7">
        <v>46065</v>
      </c>
      <c r="J280" s="5"/>
      <c r="L280" s="3">
        <v>3.2</v>
      </c>
      <c r="M280" s="3">
        <v>12</v>
      </c>
      <c r="O280" s="3" t="s">
        <v>688</v>
      </c>
      <c r="P280" s="3">
        <v>4</v>
      </c>
      <c r="Q280" s="3">
        <v>0</v>
      </c>
      <c r="R280" s="10" t="s">
        <v>692</v>
      </c>
      <c r="S280" s="3" t="s">
        <v>684</v>
      </c>
    </row>
    <row r="281" spans="1:19" s="3" customFormat="1" ht="30" customHeight="1" x14ac:dyDescent="0.3">
      <c r="A281" s="4" t="s">
        <v>621</v>
      </c>
      <c r="B281" s="5" t="s">
        <v>163</v>
      </c>
      <c r="C281" s="5">
        <v>311</v>
      </c>
      <c r="D281" s="5">
        <v>413</v>
      </c>
      <c r="E281" s="5">
        <v>102</v>
      </c>
      <c r="F281" s="5">
        <v>227</v>
      </c>
      <c r="G281" s="6">
        <v>40.262547430600002</v>
      </c>
      <c r="H281" s="6">
        <v>31.7</v>
      </c>
      <c r="I281" s="7">
        <v>46066</v>
      </c>
      <c r="J281" s="5" t="s">
        <v>690</v>
      </c>
      <c r="K281" s="3">
        <v>20</v>
      </c>
      <c r="L281" s="3">
        <v>1.4</v>
      </c>
      <c r="M281" s="3">
        <v>681</v>
      </c>
      <c r="N281" s="3">
        <v>8.8105726872246701E-2</v>
      </c>
      <c r="O281" s="3" t="s">
        <v>688</v>
      </c>
      <c r="P281" s="3">
        <v>227</v>
      </c>
      <c r="Q281" s="3">
        <v>591</v>
      </c>
      <c r="R281" s="10" t="s">
        <v>692</v>
      </c>
      <c r="S281" s="3" t="s">
        <v>686</v>
      </c>
    </row>
    <row r="282" spans="1:19" s="3" customFormat="1" ht="30" customHeight="1" x14ac:dyDescent="0.3">
      <c r="A282" s="4" t="s">
        <v>622</v>
      </c>
      <c r="B282" s="5" t="s">
        <v>188</v>
      </c>
      <c r="C282" s="5">
        <v>1154</v>
      </c>
      <c r="D282" s="5">
        <v>1263</v>
      </c>
      <c r="E282" s="5">
        <v>109</v>
      </c>
      <c r="F282" s="5">
        <v>386</v>
      </c>
      <c r="G282" s="6">
        <v>47.098602214300001</v>
      </c>
      <c r="H282" s="6">
        <v>24.98</v>
      </c>
      <c r="I282" s="7">
        <v>46142</v>
      </c>
      <c r="J282" s="5" t="s">
        <v>690</v>
      </c>
      <c r="K282" s="3">
        <v>40</v>
      </c>
      <c r="L282" s="3">
        <v>3</v>
      </c>
      <c r="M282" s="3">
        <v>1158</v>
      </c>
      <c r="N282" s="3">
        <v>0.10362694300518134</v>
      </c>
      <c r="O282" s="3" t="s">
        <v>688</v>
      </c>
      <c r="P282" s="3">
        <v>386</v>
      </c>
      <c r="Q282" s="3">
        <v>386</v>
      </c>
      <c r="R282" s="10" t="s">
        <v>692</v>
      </c>
      <c r="S282" s="3" t="s">
        <v>686</v>
      </c>
    </row>
    <row r="283" spans="1:19" s="3" customFormat="1" ht="30" customHeight="1" x14ac:dyDescent="0.3">
      <c r="A283" s="4" t="s">
        <v>623</v>
      </c>
      <c r="B283" s="5" t="s">
        <v>72</v>
      </c>
      <c r="C283" s="5">
        <v>0</v>
      </c>
      <c r="D283" s="5">
        <v>2</v>
      </c>
      <c r="E283" s="5">
        <v>2</v>
      </c>
      <c r="F283" s="5">
        <v>0</v>
      </c>
      <c r="G283" s="6">
        <v>480.3</v>
      </c>
      <c r="H283" s="6">
        <v>480.3</v>
      </c>
      <c r="I283" s="7">
        <v>46114</v>
      </c>
      <c r="J283" s="5"/>
      <c r="O283" s="3" t="s">
        <v>688</v>
      </c>
      <c r="P283" s="3">
        <v>0</v>
      </c>
      <c r="Q283" s="3" t="s">
        <v>689</v>
      </c>
      <c r="R283" s="10" t="s">
        <v>689</v>
      </c>
      <c r="S283" s="3" t="s">
        <v>703</v>
      </c>
    </row>
    <row r="284" spans="1:19" s="3" customFormat="1" ht="30" customHeight="1" x14ac:dyDescent="0.3">
      <c r="A284" s="4" t="s">
        <v>624</v>
      </c>
      <c r="B284" s="5" t="s">
        <v>251</v>
      </c>
      <c r="C284" s="5">
        <v>111</v>
      </c>
      <c r="D284" s="5">
        <v>142</v>
      </c>
      <c r="E284" s="5">
        <v>31</v>
      </c>
      <c r="F284" s="5">
        <v>20</v>
      </c>
      <c r="G284" s="6">
        <v>97.223762543500001</v>
      </c>
      <c r="H284" s="6">
        <v>101.25</v>
      </c>
      <c r="I284" s="7">
        <v>46135</v>
      </c>
      <c r="J284" s="5"/>
      <c r="L284" s="3">
        <v>5.6</v>
      </c>
      <c r="M284" s="3">
        <v>60</v>
      </c>
      <c r="O284" s="3" t="s">
        <v>688</v>
      </c>
      <c r="P284" s="3">
        <v>20</v>
      </c>
      <c r="Q284" s="3">
        <v>0</v>
      </c>
      <c r="R284" s="10" t="s">
        <v>692</v>
      </c>
      <c r="S284" s="3" t="s">
        <v>684</v>
      </c>
    </row>
    <row r="285" spans="1:19" s="3" customFormat="1" ht="30" customHeight="1" x14ac:dyDescent="0.3">
      <c r="A285" s="4" t="s">
        <v>625</v>
      </c>
      <c r="B285" s="5" t="s">
        <v>173</v>
      </c>
      <c r="C285" s="5">
        <v>541</v>
      </c>
      <c r="D285" s="5">
        <v>644</v>
      </c>
      <c r="E285" s="5">
        <v>103</v>
      </c>
      <c r="F285" s="5">
        <v>244</v>
      </c>
      <c r="G285" s="6">
        <v>79.669449053400001</v>
      </c>
      <c r="H285" s="6">
        <v>81.99</v>
      </c>
      <c r="I285" s="7">
        <v>46100</v>
      </c>
      <c r="J285" s="5" t="s">
        <v>690</v>
      </c>
      <c r="K285" s="3">
        <v>10</v>
      </c>
      <c r="L285" s="3">
        <v>2.2000000000000002</v>
      </c>
      <c r="M285" s="3">
        <v>732</v>
      </c>
      <c r="N285" s="3">
        <v>4.0983606557377046E-2</v>
      </c>
      <c r="O285" s="3" t="s">
        <v>688</v>
      </c>
      <c r="P285" s="3">
        <v>244</v>
      </c>
      <c r="Q285" s="3">
        <v>440</v>
      </c>
      <c r="R285" s="10" t="s">
        <v>692</v>
      </c>
      <c r="S285" s="3" t="s">
        <v>686</v>
      </c>
    </row>
    <row r="286" spans="1:19" s="3" customFormat="1" ht="30" customHeight="1" x14ac:dyDescent="0.3">
      <c r="A286" s="4" t="s">
        <v>626</v>
      </c>
      <c r="B286" s="5" t="s">
        <v>200</v>
      </c>
      <c r="C286" s="5">
        <v>106</v>
      </c>
      <c r="D286" s="5">
        <v>151</v>
      </c>
      <c r="E286" s="5">
        <v>45</v>
      </c>
      <c r="F286" s="5">
        <v>39</v>
      </c>
      <c r="G286" s="6">
        <v>92.610036757499998</v>
      </c>
      <c r="H286" s="6">
        <v>101</v>
      </c>
      <c r="I286" s="7">
        <v>46059</v>
      </c>
      <c r="J286" s="5"/>
      <c r="L286" s="3">
        <v>2.7</v>
      </c>
      <c r="M286" s="3">
        <v>117</v>
      </c>
      <c r="O286" s="3" t="s">
        <v>688</v>
      </c>
      <c r="P286" s="3">
        <v>39</v>
      </c>
      <c r="Q286" s="3">
        <v>51</v>
      </c>
      <c r="R286" s="10" t="s">
        <v>692</v>
      </c>
      <c r="S286" s="3" t="s">
        <v>686</v>
      </c>
    </row>
    <row r="287" spans="1:19" s="3" customFormat="1" ht="30" customHeight="1" x14ac:dyDescent="0.3">
      <c r="A287" s="4" t="s">
        <v>627</v>
      </c>
      <c r="B287" s="5" t="s">
        <v>248</v>
      </c>
      <c r="C287" s="5">
        <v>20</v>
      </c>
      <c r="D287" s="5">
        <v>36</v>
      </c>
      <c r="E287" s="5">
        <v>16</v>
      </c>
      <c r="F287" s="5">
        <v>6</v>
      </c>
      <c r="G287" s="6">
        <v>108.1876313372</v>
      </c>
      <c r="H287" s="6">
        <v>119.95</v>
      </c>
      <c r="I287" s="7">
        <v>46135</v>
      </c>
      <c r="J287" s="5"/>
      <c r="L287" s="3">
        <v>3.3</v>
      </c>
      <c r="M287" s="3">
        <v>18</v>
      </c>
      <c r="O287" s="3" t="s">
        <v>688</v>
      </c>
      <c r="P287" s="3">
        <v>6</v>
      </c>
      <c r="Q287" s="3">
        <v>0</v>
      </c>
      <c r="R287" s="10" t="s">
        <v>692</v>
      </c>
      <c r="S287" s="3" t="s">
        <v>684</v>
      </c>
    </row>
    <row r="288" spans="1:19" s="3" customFormat="1" ht="30" customHeight="1" x14ac:dyDescent="0.3">
      <c r="A288" s="4" t="s">
        <v>628</v>
      </c>
      <c r="B288" s="5" t="s">
        <v>85</v>
      </c>
      <c r="C288" s="5">
        <v>18</v>
      </c>
      <c r="D288" s="5">
        <v>21</v>
      </c>
      <c r="E288" s="5">
        <v>3</v>
      </c>
      <c r="F288" s="5">
        <v>0</v>
      </c>
      <c r="G288" s="6">
        <v>260.43650892860001</v>
      </c>
      <c r="H288" s="6">
        <v>259.8</v>
      </c>
      <c r="I288" s="7">
        <v>45708</v>
      </c>
      <c r="J288" s="5"/>
      <c r="O288" s="3" t="s">
        <v>688</v>
      </c>
      <c r="P288" s="3">
        <v>0</v>
      </c>
      <c r="Q288" s="3" t="s">
        <v>689</v>
      </c>
      <c r="R288" s="10" t="s">
        <v>689</v>
      </c>
      <c r="S288" s="3" t="s">
        <v>704</v>
      </c>
    </row>
    <row r="289" spans="1:19" s="3" customFormat="1" ht="30" customHeight="1" x14ac:dyDescent="0.3">
      <c r="A289" s="4" t="s">
        <v>629</v>
      </c>
      <c r="B289" s="5" t="s">
        <v>157</v>
      </c>
      <c r="C289" s="5">
        <v>4</v>
      </c>
      <c r="D289" s="5">
        <v>11</v>
      </c>
      <c r="E289" s="5">
        <v>7</v>
      </c>
      <c r="F289" s="5">
        <v>5</v>
      </c>
      <c r="G289" s="6">
        <v>1233.3097499999999</v>
      </c>
      <c r="H289" s="6">
        <v>1237.3800000000001</v>
      </c>
      <c r="I289" s="7">
        <v>45987</v>
      </c>
      <c r="J289" s="5"/>
      <c r="L289" s="3">
        <v>0.8</v>
      </c>
      <c r="M289" s="3">
        <v>15</v>
      </c>
      <c r="O289" s="3" t="s">
        <v>688</v>
      </c>
      <c r="P289" s="3">
        <v>5</v>
      </c>
      <c r="Q289" s="3">
        <v>16</v>
      </c>
      <c r="R289" s="10" t="s">
        <v>692</v>
      </c>
      <c r="S289" s="3" t="s">
        <v>687</v>
      </c>
    </row>
    <row r="290" spans="1:19" s="3" customFormat="1" ht="30" customHeight="1" x14ac:dyDescent="0.3">
      <c r="A290" s="4" t="s">
        <v>630</v>
      </c>
      <c r="B290" s="5" t="s">
        <v>100</v>
      </c>
      <c r="C290" s="5">
        <v>15</v>
      </c>
      <c r="D290" s="5">
        <v>17</v>
      </c>
      <c r="E290" s="5">
        <v>2</v>
      </c>
      <c r="F290" s="5">
        <v>0</v>
      </c>
      <c r="G290" s="6">
        <v>1242.4859787998</v>
      </c>
      <c r="H290" s="6">
        <v>1237.3800000000001</v>
      </c>
      <c r="I290" s="7">
        <v>45987</v>
      </c>
      <c r="J290" s="5"/>
      <c r="O290" s="3" t="s">
        <v>688</v>
      </c>
      <c r="P290" s="3">
        <v>0</v>
      </c>
      <c r="Q290" s="3" t="s">
        <v>689</v>
      </c>
      <c r="R290" s="10" t="s">
        <v>689</v>
      </c>
      <c r="S290" s="3" t="s">
        <v>704</v>
      </c>
    </row>
    <row r="291" spans="1:19" s="3" customFormat="1" ht="30" customHeight="1" x14ac:dyDescent="0.3">
      <c r="A291" s="4" t="s">
        <v>631</v>
      </c>
      <c r="B291" s="5" t="s">
        <v>31</v>
      </c>
      <c r="C291" s="5">
        <v>4</v>
      </c>
      <c r="D291" s="5">
        <v>5</v>
      </c>
      <c r="E291" s="5">
        <v>1</v>
      </c>
      <c r="F291" s="5">
        <v>1</v>
      </c>
      <c r="G291" s="6">
        <v>920</v>
      </c>
      <c r="H291" s="6">
        <v>1000</v>
      </c>
      <c r="I291" s="7">
        <v>46134</v>
      </c>
      <c r="J291" s="5"/>
      <c r="L291" s="3">
        <v>4</v>
      </c>
      <c r="M291" s="3">
        <v>3</v>
      </c>
      <c r="O291" s="3" t="s">
        <v>688</v>
      </c>
      <c r="P291" s="3">
        <v>1</v>
      </c>
      <c r="Q291" s="3">
        <v>0</v>
      </c>
      <c r="R291" s="10" t="s">
        <v>692</v>
      </c>
      <c r="S291" s="3" t="s">
        <v>684</v>
      </c>
    </row>
    <row r="292" spans="1:19" s="3" customFormat="1" ht="30" customHeight="1" x14ac:dyDescent="0.3">
      <c r="A292" s="4" t="s">
        <v>632</v>
      </c>
      <c r="B292" s="5" t="s">
        <v>60</v>
      </c>
      <c r="C292" s="5">
        <v>5</v>
      </c>
      <c r="D292" s="5">
        <v>8</v>
      </c>
      <c r="E292" s="5">
        <v>3</v>
      </c>
      <c r="F292" s="5">
        <v>0</v>
      </c>
      <c r="G292" s="6">
        <v>566.15625</v>
      </c>
      <c r="H292" s="6">
        <v>335.1</v>
      </c>
      <c r="I292" s="7">
        <v>46101</v>
      </c>
      <c r="J292" s="5"/>
      <c r="O292" s="3" t="s">
        <v>688</v>
      </c>
      <c r="P292" s="3">
        <v>0</v>
      </c>
      <c r="Q292" s="3" t="s">
        <v>689</v>
      </c>
      <c r="R292" s="10" t="s">
        <v>689</v>
      </c>
      <c r="S292" s="3" t="s">
        <v>704</v>
      </c>
    </row>
    <row r="293" spans="1:19" s="3" customFormat="1" ht="30" customHeight="1" x14ac:dyDescent="0.3">
      <c r="A293" s="4" t="s">
        <v>633</v>
      </c>
      <c r="B293" s="5" t="s">
        <v>139</v>
      </c>
      <c r="C293" s="5">
        <v>5</v>
      </c>
      <c r="D293" s="5">
        <v>5</v>
      </c>
      <c r="E293" s="5">
        <v>0</v>
      </c>
      <c r="F293" s="5">
        <v>0</v>
      </c>
      <c r="G293" s="6">
        <v>1960</v>
      </c>
      <c r="H293" s="6">
        <v>1960</v>
      </c>
      <c r="I293" s="7">
        <v>45905</v>
      </c>
      <c r="J293" s="5"/>
      <c r="O293" s="3" t="s">
        <v>688</v>
      </c>
      <c r="P293" s="3">
        <v>0</v>
      </c>
      <c r="Q293" s="3" t="s">
        <v>689</v>
      </c>
      <c r="R293" s="10" t="s">
        <v>689</v>
      </c>
      <c r="S293" s="3" t="s">
        <v>704</v>
      </c>
    </row>
    <row r="294" spans="1:19" s="3" customFormat="1" ht="30" customHeight="1" x14ac:dyDescent="0.3">
      <c r="A294" s="4" t="s">
        <v>634</v>
      </c>
      <c r="B294" s="5" t="s">
        <v>125</v>
      </c>
      <c r="C294" s="5">
        <v>2</v>
      </c>
      <c r="D294" s="5">
        <v>4</v>
      </c>
      <c r="E294" s="5">
        <v>2</v>
      </c>
      <c r="F294" s="5">
        <v>0</v>
      </c>
      <c r="G294" s="6">
        <v>1920</v>
      </c>
      <c r="H294" s="6">
        <v>1920</v>
      </c>
      <c r="I294" s="7">
        <v>45905</v>
      </c>
      <c r="J294" s="5"/>
      <c r="O294" s="3" t="s">
        <v>688</v>
      </c>
      <c r="P294" s="3">
        <v>0</v>
      </c>
      <c r="Q294" s="3" t="s">
        <v>689</v>
      </c>
      <c r="R294" s="10" t="s">
        <v>689</v>
      </c>
      <c r="S294" s="3" t="s">
        <v>704</v>
      </c>
    </row>
    <row r="295" spans="1:19" s="3" customFormat="1" ht="30" customHeight="1" x14ac:dyDescent="0.3">
      <c r="A295" s="4" t="s">
        <v>635</v>
      </c>
      <c r="B295" s="5" t="s">
        <v>201</v>
      </c>
      <c r="C295" s="5">
        <v>2</v>
      </c>
      <c r="D295" s="5">
        <v>4</v>
      </c>
      <c r="E295" s="5">
        <v>2</v>
      </c>
      <c r="F295" s="5">
        <v>3</v>
      </c>
      <c r="G295" s="6">
        <v>1934.6694666665001</v>
      </c>
      <c r="H295" s="6">
        <v>2030</v>
      </c>
      <c r="I295" s="7">
        <v>46126</v>
      </c>
      <c r="J295" s="5"/>
      <c r="L295" s="3">
        <v>0.7</v>
      </c>
      <c r="M295" s="3">
        <v>9</v>
      </c>
      <c r="O295" s="3" t="s">
        <v>688</v>
      </c>
      <c r="P295" s="3">
        <v>3</v>
      </c>
      <c r="Q295" s="3">
        <v>10</v>
      </c>
      <c r="R295" s="10" t="s">
        <v>692</v>
      </c>
      <c r="S295" s="3" t="s">
        <v>687</v>
      </c>
    </row>
    <row r="296" spans="1:19" s="3" customFormat="1" ht="30" customHeight="1" x14ac:dyDescent="0.3">
      <c r="A296" s="4" t="s">
        <v>636</v>
      </c>
      <c r="B296" s="5" t="s">
        <v>255</v>
      </c>
      <c r="C296" s="5">
        <v>38</v>
      </c>
      <c r="D296" s="5">
        <v>44</v>
      </c>
      <c r="E296" s="5">
        <v>6</v>
      </c>
      <c r="F296" s="5">
        <v>5</v>
      </c>
      <c r="G296" s="6">
        <v>1979.9218526872</v>
      </c>
      <c r="H296" s="6">
        <v>1980</v>
      </c>
      <c r="I296" s="7">
        <v>46100</v>
      </c>
      <c r="J296" s="5"/>
      <c r="L296" s="3">
        <v>7.6</v>
      </c>
      <c r="M296" s="3">
        <v>15</v>
      </c>
      <c r="O296" s="3" t="s">
        <v>688</v>
      </c>
      <c r="P296" s="3">
        <v>5</v>
      </c>
      <c r="Q296" s="3">
        <v>0</v>
      </c>
      <c r="R296" s="10" t="s">
        <v>692</v>
      </c>
      <c r="S296" s="3" t="s">
        <v>684</v>
      </c>
    </row>
    <row r="297" spans="1:19" s="3" customFormat="1" ht="30" customHeight="1" x14ac:dyDescent="0.3">
      <c r="A297" s="4" t="s">
        <v>637</v>
      </c>
      <c r="B297" s="5" t="s">
        <v>174</v>
      </c>
      <c r="C297" s="5">
        <v>578</v>
      </c>
      <c r="D297" s="5">
        <v>670</v>
      </c>
      <c r="E297" s="5">
        <v>92</v>
      </c>
      <c r="F297" s="5">
        <v>249</v>
      </c>
      <c r="G297" s="6">
        <v>7.2638322415000003</v>
      </c>
      <c r="H297" s="6">
        <v>7.27</v>
      </c>
      <c r="I297" s="7">
        <v>46111</v>
      </c>
      <c r="J297" s="5" t="s">
        <v>690</v>
      </c>
      <c r="K297" s="3">
        <v>10</v>
      </c>
      <c r="L297" s="3">
        <v>2.2999999999999998</v>
      </c>
      <c r="M297" s="3">
        <v>747</v>
      </c>
      <c r="N297" s="3">
        <v>4.0160642570281124E-2</v>
      </c>
      <c r="O297" s="3" t="s">
        <v>688</v>
      </c>
      <c r="P297" s="3">
        <v>249</v>
      </c>
      <c r="Q297" s="3">
        <v>424</v>
      </c>
      <c r="R297" s="10" t="s">
        <v>692</v>
      </c>
      <c r="S297" s="3" t="s">
        <v>686</v>
      </c>
    </row>
    <row r="298" spans="1:19" s="3" customFormat="1" ht="30" customHeight="1" x14ac:dyDescent="0.3">
      <c r="A298" s="4" t="s">
        <v>638</v>
      </c>
      <c r="B298" s="5" t="s">
        <v>216</v>
      </c>
      <c r="C298" s="5">
        <v>17</v>
      </c>
      <c r="D298" s="5">
        <v>29</v>
      </c>
      <c r="E298" s="5">
        <v>12</v>
      </c>
      <c r="F298" s="5">
        <v>5</v>
      </c>
      <c r="G298" s="6">
        <v>260.73731717449999</v>
      </c>
      <c r="H298" s="6">
        <v>267</v>
      </c>
      <c r="I298" s="7">
        <v>46020</v>
      </c>
      <c r="J298" s="5"/>
      <c r="L298" s="3">
        <v>3.4</v>
      </c>
      <c r="M298" s="3">
        <v>15</v>
      </c>
      <c r="O298" s="3" t="s">
        <v>688</v>
      </c>
      <c r="P298" s="3">
        <v>5</v>
      </c>
      <c r="Q298" s="3">
        <v>0</v>
      </c>
      <c r="R298" s="10" t="s">
        <v>692</v>
      </c>
      <c r="S298" s="3" t="s">
        <v>684</v>
      </c>
    </row>
    <row r="299" spans="1:19" s="3" customFormat="1" ht="30" customHeight="1" x14ac:dyDescent="0.3">
      <c r="A299" s="4" t="s">
        <v>639</v>
      </c>
      <c r="B299" s="5" t="s">
        <v>295</v>
      </c>
      <c r="C299" s="5">
        <v>4</v>
      </c>
      <c r="D299" s="5">
        <v>11</v>
      </c>
      <c r="E299" s="5">
        <v>7</v>
      </c>
      <c r="F299" s="5">
        <v>2</v>
      </c>
      <c r="G299" s="6">
        <v>296.7063636364</v>
      </c>
      <c r="H299" s="6">
        <v>340</v>
      </c>
      <c r="I299" s="7">
        <v>46126</v>
      </c>
      <c r="J299" s="5"/>
      <c r="L299" s="3">
        <v>2</v>
      </c>
      <c r="M299" s="3">
        <v>6</v>
      </c>
      <c r="O299" s="3" t="s">
        <v>688</v>
      </c>
      <c r="P299" s="3">
        <v>2</v>
      </c>
      <c r="Q299" s="3">
        <v>4</v>
      </c>
      <c r="R299" s="10" t="s">
        <v>692</v>
      </c>
      <c r="S299" s="3" t="s">
        <v>686</v>
      </c>
    </row>
    <row r="300" spans="1:19" s="3" customFormat="1" ht="30" customHeight="1" x14ac:dyDescent="0.3">
      <c r="A300" s="4" t="s">
        <v>640</v>
      </c>
      <c r="B300" s="5" t="s">
        <v>108</v>
      </c>
      <c r="C300" s="5">
        <v>9</v>
      </c>
      <c r="D300" s="5">
        <v>14</v>
      </c>
      <c r="E300" s="5">
        <v>5</v>
      </c>
      <c r="F300" s="5">
        <v>0</v>
      </c>
      <c r="G300" s="6">
        <v>215.89620194619999</v>
      </c>
      <c r="H300" s="6">
        <v>279</v>
      </c>
      <c r="I300" s="7">
        <v>46020</v>
      </c>
      <c r="J300" s="5"/>
      <c r="O300" s="3" t="s">
        <v>688</v>
      </c>
      <c r="P300" s="3">
        <v>0</v>
      </c>
      <c r="Q300" s="3" t="s">
        <v>689</v>
      </c>
      <c r="R300" s="10" t="s">
        <v>689</v>
      </c>
      <c r="S300" s="3" t="s">
        <v>704</v>
      </c>
    </row>
    <row r="301" spans="1:19" s="3" customFormat="1" ht="30" customHeight="1" x14ac:dyDescent="0.3">
      <c r="A301" s="4" t="s">
        <v>641</v>
      </c>
      <c r="B301" s="5" t="s">
        <v>184</v>
      </c>
      <c r="C301" s="5">
        <v>11</v>
      </c>
      <c r="D301" s="5">
        <v>16</v>
      </c>
      <c r="E301" s="5">
        <v>5</v>
      </c>
      <c r="F301" s="5">
        <v>3</v>
      </c>
      <c r="G301" s="6">
        <v>448.50363116189999</v>
      </c>
      <c r="H301" s="6">
        <v>484</v>
      </c>
      <c r="I301" s="7">
        <v>46113</v>
      </c>
      <c r="J301" s="5"/>
      <c r="L301" s="3">
        <v>3.7</v>
      </c>
      <c r="M301" s="3">
        <v>9</v>
      </c>
      <c r="O301" s="3" t="s">
        <v>688</v>
      </c>
      <c r="P301" s="3">
        <v>3</v>
      </c>
      <c r="Q301" s="3">
        <v>0</v>
      </c>
      <c r="R301" s="10" t="s">
        <v>692</v>
      </c>
      <c r="S301" s="3" t="s">
        <v>684</v>
      </c>
    </row>
    <row r="302" spans="1:19" s="3" customFormat="1" ht="30" customHeight="1" x14ac:dyDescent="0.3">
      <c r="A302" s="4" t="s">
        <v>642</v>
      </c>
      <c r="B302" s="5" t="s">
        <v>19</v>
      </c>
      <c r="C302" s="5">
        <v>0</v>
      </c>
      <c r="D302" s="5">
        <v>5</v>
      </c>
      <c r="E302" s="5">
        <v>5</v>
      </c>
      <c r="F302" s="5">
        <v>0</v>
      </c>
      <c r="G302" s="6">
        <v>950</v>
      </c>
      <c r="H302" s="6">
        <v>950</v>
      </c>
      <c r="I302" s="7">
        <v>45257</v>
      </c>
      <c r="J302" s="5"/>
      <c r="O302" s="3" t="s">
        <v>688</v>
      </c>
      <c r="P302" s="3">
        <v>0</v>
      </c>
      <c r="Q302" s="3" t="s">
        <v>689</v>
      </c>
      <c r="R302" s="10" t="s">
        <v>689</v>
      </c>
      <c r="S302" s="3" t="s">
        <v>703</v>
      </c>
    </row>
    <row r="303" spans="1:19" s="3" customFormat="1" ht="30" customHeight="1" x14ac:dyDescent="0.3">
      <c r="A303" s="4" t="s">
        <v>643</v>
      </c>
      <c r="B303" s="5" t="s">
        <v>75</v>
      </c>
      <c r="C303" s="5">
        <v>19</v>
      </c>
      <c r="D303" s="5">
        <v>29</v>
      </c>
      <c r="E303" s="5">
        <v>10</v>
      </c>
      <c r="F303" s="5">
        <v>1</v>
      </c>
      <c r="G303" s="6">
        <v>648.26272616829999</v>
      </c>
      <c r="H303" s="6">
        <v>650</v>
      </c>
      <c r="I303" s="7">
        <v>45975</v>
      </c>
      <c r="J303" s="5"/>
      <c r="L303" s="3">
        <v>19</v>
      </c>
      <c r="M303" s="3">
        <v>3</v>
      </c>
      <c r="O303" s="3" t="s">
        <v>688</v>
      </c>
      <c r="P303" s="3">
        <v>1</v>
      </c>
      <c r="Q303" s="3">
        <v>0</v>
      </c>
      <c r="R303" s="10" t="s">
        <v>692</v>
      </c>
      <c r="S303" s="3" t="s">
        <v>684</v>
      </c>
    </row>
    <row r="304" spans="1:19" s="3" customFormat="1" ht="30" customHeight="1" x14ac:dyDescent="0.3">
      <c r="A304" s="4" t="s">
        <v>644</v>
      </c>
      <c r="B304" s="5" t="s">
        <v>12</v>
      </c>
      <c r="C304" s="5">
        <v>13</v>
      </c>
      <c r="D304" s="5">
        <v>17</v>
      </c>
      <c r="E304" s="5">
        <v>4</v>
      </c>
      <c r="F304" s="5">
        <v>2</v>
      </c>
      <c r="G304" s="6">
        <v>646.61419105269999</v>
      </c>
      <c r="H304" s="6">
        <v>650</v>
      </c>
      <c r="I304" s="7">
        <v>45975</v>
      </c>
      <c r="J304" s="5"/>
      <c r="L304" s="3">
        <v>6.5</v>
      </c>
      <c r="M304" s="3">
        <v>6</v>
      </c>
      <c r="O304" s="3" t="s">
        <v>688</v>
      </c>
      <c r="P304" s="3">
        <v>2</v>
      </c>
      <c r="Q304" s="3">
        <v>0</v>
      </c>
      <c r="R304" s="10" t="s">
        <v>692</v>
      </c>
      <c r="S304" s="3" t="s">
        <v>684</v>
      </c>
    </row>
    <row r="305" spans="1:19" s="3" customFormat="1" ht="30" customHeight="1" x14ac:dyDescent="0.3">
      <c r="A305" s="4" t="s">
        <v>645</v>
      </c>
      <c r="B305" s="5" t="s">
        <v>221</v>
      </c>
      <c r="C305" s="5">
        <v>9</v>
      </c>
      <c r="D305" s="5">
        <v>25</v>
      </c>
      <c r="E305" s="5">
        <v>16</v>
      </c>
      <c r="F305" s="5">
        <v>11</v>
      </c>
      <c r="G305" s="6">
        <v>413.63234450200002</v>
      </c>
      <c r="H305" s="6">
        <v>500</v>
      </c>
      <c r="I305" s="7">
        <v>46139</v>
      </c>
      <c r="J305" s="5"/>
      <c r="L305" s="3">
        <v>0.8</v>
      </c>
      <c r="M305" s="3">
        <v>33</v>
      </c>
      <c r="O305" s="3" t="s">
        <v>688</v>
      </c>
      <c r="P305" s="3">
        <v>11</v>
      </c>
      <c r="Q305" s="3">
        <v>36</v>
      </c>
      <c r="R305" s="10" t="s">
        <v>692</v>
      </c>
      <c r="S305" s="3" t="s">
        <v>687</v>
      </c>
    </row>
    <row r="306" spans="1:19" s="3" customFormat="1" ht="30" customHeight="1" x14ac:dyDescent="0.3">
      <c r="A306" s="4" t="s">
        <v>646</v>
      </c>
      <c r="B306" s="5" t="s">
        <v>115</v>
      </c>
      <c r="C306" s="5">
        <v>0</v>
      </c>
      <c r="D306" s="5">
        <v>0</v>
      </c>
      <c r="E306" s="5">
        <v>0</v>
      </c>
      <c r="F306" s="5">
        <v>0</v>
      </c>
      <c r="G306" s="6">
        <v>535.25</v>
      </c>
      <c r="H306" s="6">
        <v>535.25</v>
      </c>
      <c r="I306" s="7">
        <v>45630</v>
      </c>
      <c r="J306" s="5"/>
      <c r="O306" s="3" t="s">
        <v>688</v>
      </c>
      <c r="P306" s="3">
        <v>0</v>
      </c>
      <c r="Q306" s="3" t="s">
        <v>689</v>
      </c>
      <c r="R306" s="10" t="s">
        <v>689</v>
      </c>
      <c r="S306" s="3" t="s">
        <v>703</v>
      </c>
    </row>
    <row r="307" spans="1:19" s="3" customFormat="1" ht="30" customHeight="1" x14ac:dyDescent="0.3">
      <c r="A307" s="4" t="s">
        <v>647</v>
      </c>
      <c r="B307" s="5" t="s">
        <v>202</v>
      </c>
      <c r="C307" s="5">
        <v>2</v>
      </c>
      <c r="D307" s="5">
        <v>4</v>
      </c>
      <c r="E307" s="5">
        <v>2</v>
      </c>
      <c r="F307" s="5">
        <v>1</v>
      </c>
      <c r="G307" s="6">
        <v>465</v>
      </c>
      <c r="H307" s="6">
        <v>465</v>
      </c>
      <c r="I307" s="7">
        <v>46100</v>
      </c>
      <c r="J307" s="5"/>
      <c r="L307" s="3">
        <v>2</v>
      </c>
      <c r="M307" s="3">
        <v>3</v>
      </c>
      <c r="O307" s="3" t="s">
        <v>688</v>
      </c>
      <c r="P307" s="3">
        <v>1</v>
      </c>
      <c r="Q307" s="3">
        <v>2</v>
      </c>
      <c r="R307" s="10" t="s">
        <v>692</v>
      </c>
      <c r="S307" s="3" t="s">
        <v>686</v>
      </c>
    </row>
    <row r="308" spans="1:19" s="3" customFormat="1" ht="30" customHeight="1" x14ac:dyDescent="0.3">
      <c r="A308" s="4" t="s">
        <v>648</v>
      </c>
      <c r="B308" s="5" t="s">
        <v>38</v>
      </c>
      <c r="C308" s="5">
        <v>5</v>
      </c>
      <c r="D308" s="5">
        <v>8</v>
      </c>
      <c r="E308" s="5">
        <v>3</v>
      </c>
      <c r="F308" s="5">
        <v>1</v>
      </c>
      <c r="G308" s="6">
        <v>403.69</v>
      </c>
      <c r="H308" s="6">
        <v>403.69</v>
      </c>
      <c r="I308" s="7">
        <v>46098</v>
      </c>
      <c r="J308" s="5"/>
      <c r="L308" s="3">
        <v>5</v>
      </c>
      <c r="M308" s="3">
        <v>3</v>
      </c>
      <c r="O308" s="3" t="s">
        <v>688</v>
      </c>
      <c r="P308" s="3">
        <v>1</v>
      </c>
      <c r="Q308" s="3">
        <v>0</v>
      </c>
      <c r="R308" s="10" t="s">
        <v>692</v>
      </c>
      <c r="S308" s="3" t="s">
        <v>684</v>
      </c>
    </row>
    <row r="309" spans="1:19" s="3" customFormat="1" ht="30" customHeight="1" x14ac:dyDescent="0.3">
      <c r="A309" s="4" t="s">
        <v>649</v>
      </c>
      <c r="B309" s="5" t="s">
        <v>166</v>
      </c>
      <c r="C309" s="5">
        <v>79</v>
      </c>
      <c r="D309" s="5">
        <v>103</v>
      </c>
      <c r="E309" s="5">
        <v>24</v>
      </c>
      <c r="F309" s="5">
        <v>47</v>
      </c>
      <c r="G309" s="6">
        <v>295.52199341430003</v>
      </c>
      <c r="H309" s="6">
        <v>292.05</v>
      </c>
      <c r="I309" s="7">
        <v>46083</v>
      </c>
      <c r="J309" s="5"/>
      <c r="L309" s="3">
        <v>1.7</v>
      </c>
      <c r="M309" s="3">
        <v>141</v>
      </c>
      <c r="O309" s="3" t="s">
        <v>688</v>
      </c>
      <c r="P309" s="3">
        <v>47</v>
      </c>
      <c r="Q309" s="3">
        <v>109</v>
      </c>
      <c r="R309" s="10" t="s">
        <v>692</v>
      </c>
      <c r="S309" s="3" t="s">
        <v>686</v>
      </c>
    </row>
    <row r="310" spans="1:19" s="3" customFormat="1" ht="30" customHeight="1" x14ac:dyDescent="0.3">
      <c r="A310" s="4" t="s">
        <v>650</v>
      </c>
      <c r="B310" s="5" t="s">
        <v>136</v>
      </c>
      <c r="C310" s="5">
        <v>3</v>
      </c>
      <c r="D310" s="5">
        <v>3</v>
      </c>
      <c r="E310" s="5">
        <v>0</v>
      </c>
      <c r="F310" s="5">
        <v>0</v>
      </c>
      <c r="G310" s="6">
        <v>1936.3633333333</v>
      </c>
      <c r="H310" s="6">
        <v>1874.67</v>
      </c>
      <c r="I310" s="7">
        <v>46111</v>
      </c>
      <c r="J310" s="5"/>
      <c r="O310" s="3" t="s">
        <v>688</v>
      </c>
      <c r="P310" s="3">
        <v>0</v>
      </c>
      <c r="Q310" s="3" t="s">
        <v>689</v>
      </c>
      <c r="R310" s="10" t="s">
        <v>689</v>
      </c>
      <c r="S310" s="3" t="s">
        <v>704</v>
      </c>
    </row>
    <row r="311" spans="1:19" s="3" customFormat="1" ht="30" customHeight="1" x14ac:dyDescent="0.3">
      <c r="A311" s="4" t="s">
        <v>651</v>
      </c>
      <c r="B311" s="5" t="s">
        <v>26</v>
      </c>
      <c r="C311" s="5">
        <v>2</v>
      </c>
      <c r="D311" s="5">
        <v>3</v>
      </c>
      <c r="E311" s="5">
        <v>1</v>
      </c>
      <c r="F311" s="5">
        <v>0</v>
      </c>
      <c r="G311" s="6">
        <v>2215.7186160596998</v>
      </c>
      <c r="H311" s="6">
        <v>2316.91</v>
      </c>
      <c r="I311" s="7">
        <v>45733</v>
      </c>
      <c r="J311" s="5"/>
      <c r="O311" s="3" t="s">
        <v>688</v>
      </c>
      <c r="P311" s="3">
        <v>0</v>
      </c>
      <c r="Q311" s="3" t="s">
        <v>689</v>
      </c>
      <c r="R311" s="10" t="s">
        <v>689</v>
      </c>
      <c r="S311" s="3" t="s">
        <v>704</v>
      </c>
    </row>
    <row r="312" spans="1:19" s="3" customFormat="1" ht="30" customHeight="1" x14ac:dyDescent="0.3">
      <c r="A312" s="4" t="s">
        <v>652</v>
      </c>
      <c r="B312" s="5" t="s">
        <v>17</v>
      </c>
      <c r="C312" s="5">
        <v>3</v>
      </c>
      <c r="D312" s="5">
        <v>3</v>
      </c>
      <c r="E312" s="5">
        <v>0</v>
      </c>
      <c r="F312" s="5">
        <v>0</v>
      </c>
      <c r="G312" s="6">
        <v>1874.67</v>
      </c>
      <c r="H312" s="6">
        <v>1874.67</v>
      </c>
      <c r="I312" s="7">
        <v>45959</v>
      </c>
      <c r="J312" s="5"/>
      <c r="O312" s="3" t="s">
        <v>688</v>
      </c>
      <c r="P312" s="3">
        <v>0</v>
      </c>
      <c r="Q312" s="3" t="s">
        <v>689</v>
      </c>
      <c r="R312" s="10" t="s">
        <v>689</v>
      </c>
      <c r="S312" s="3" t="s">
        <v>704</v>
      </c>
    </row>
    <row r="313" spans="1:19" s="3" customFormat="1" ht="30" customHeight="1" x14ac:dyDescent="0.3">
      <c r="A313" s="4" t="s">
        <v>653</v>
      </c>
      <c r="B313" s="5" t="s">
        <v>209</v>
      </c>
      <c r="C313" s="5">
        <v>8</v>
      </c>
      <c r="D313" s="5">
        <v>9</v>
      </c>
      <c r="E313" s="5">
        <v>1</v>
      </c>
      <c r="F313" s="5">
        <v>1</v>
      </c>
      <c r="G313" s="6">
        <v>4344.8291005289002</v>
      </c>
      <c r="H313" s="6">
        <v>4345</v>
      </c>
      <c r="I313" s="7">
        <v>46135</v>
      </c>
      <c r="J313" s="5"/>
      <c r="L313" s="3">
        <v>8</v>
      </c>
      <c r="M313" s="3">
        <v>3</v>
      </c>
      <c r="O313" s="3" t="s">
        <v>688</v>
      </c>
      <c r="P313" s="3">
        <v>1</v>
      </c>
      <c r="Q313" s="3">
        <v>0</v>
      </c>
      <c r="R313" s="10" t="s">
        <v>692</v>
      </c>
      <c r="S313" s="3" t="s">
        <v>684</v>
      </c>
    </row>
    <row r="314" spans="1:19" s="3" customFormat="1" ht="30" customHeight="1" x14ac:dyDescent="0.3">
      <c r="A314" s="4" t="s">
        <v>654</v>
      </c>
      <c r="B314" s="5" t="s">
        <v>107</v>
      </c>
      <c r="C314" s="5">
        <v>0</v>
      </c>
      <c r="D314" s="5">
        <v>0</v>
      </c>
      <c r="E314" s="5">
        <v>0</v>
      </c>
      <c r="F314" s="5">
        <v>0</v>
      </c>
      <c r="G314" s="6">
        <v>290.0035980554</v>
      </c>
      <c r="H314" s="6">
        <v>290.00360000000001</v>
      </c>
      <c r="I314" s="7">
        <v>45980</v>
      </c>
      <c r="J314" s="5"/>
      <c r="O314" s="3" t="s">
        <v>688</v>
      </c>
      <c r="P314" s="3">
        <v>0</v>
      </c>
      <c r="Q314" s="3" t="s">
        <v>689</v>
      </c>
      <c r="R314" s="10" t="s">
        <v>689</v>
      </c>
      <c r="S314" s="3" t="s">
        <v>703</v>
      </c>
    </row>
    <row r="315" spans="1:19" s="3" customFormat="1" ht="30" customHeight="1" x14ac:dyDescent="0.3">
      <c r="A315" s="4" t="s">
        <v>655</v>
      </c>
      <c r="B315" s="5" t="s">
        <v>159</v>
      </c>
      <c r="C315" s="5">
        <v>33</v>
      </c>
      <c r="D315" s="5">
        <v>59</v>
      </c>
      <c r="E315" s="5">
        <v>26</v>
      </c>
      <c r="F315" s="5">
        <v>46</v>
      </c>
      <c r="G315" s="6">
        <v>149.79487644139999</v>
      </c>
      <c r="H315" s="6">
        <v>150</v>
      </c>
      <c r="I315" s="7">
        <v>45985</v>
      </c>
      <c r="J315" s="5"/>
      <c r="L315" s="3">
        <v>0.7</v>
      </c>
      <c r="M315" s="3">
        <v>138</v>
      </c>
      <c r="O315" s="3" t="s">
        <v>688</v>
      </c>
      <c r="P315" s="3">
        <v>46</v>
      </c>
      <c r="Q315" s="3">
        <v>152</v>
      </c>
      <c r="R315" s="10" t="s">
        <v>692</v>
      </c>
      <c r="S315" s="3" t="s">
        <v>687</v>
      </c>
    </row>
    <row r="316" spans="1:19" s="3" customFormat="1" ht="30" customHeight="1" x14ac:dyDescent="0.3">
      <c r="A316" s="4" t="s">
        <v>656</v>
      </c>
      <c r="B316" s="5" t="s">
        <v>237</v>
      </c>
      <c r="C316" s="5">
        <v>44</v>
      </c>
      <c r="D316" s="5">
        <v>56</v>
      </c>
      <c r="E316" s="5">
        <v>12</v>
      </c>
      <c r="F316" s="5">
        <v>8</v>
      </c>
      <c r="G316" s="6">
        <v>602.86195043910004</v>
      </c>
      <c r="H316" s="6">
        <v>603</v>
      </c>
      <c r="I316" s="7">
        <v>46097</v>
      </c>
      <c r="J316" s="5"/>
      <c r="L316" s="3">
        <v>5.5</v>
      </c>
      <c r="M316" s="3">
        <v>24</v>
      </c>
      <c r="O316" s="3" t="s">
        <v>688</v>
      </c>
      <c r="P316" s="3">
        <v>8</v>
      </c>
      <c r="Q316" s="3">
        <v>0</v>
      </c>
      <c r="R316" s="10" t="s">
        <v>692</v>
      </c>
      <c r="S316" s="3" t="s">
        <v>684</v>
      </c>
    </row>
    <row r="317" spans="1:19" s="3" customFormat="1" ht="30" customHeight="1" x14ac:dyDescent="0.3">
      <c r="A317" s="4" t="s">
        <v>657</v>
      </c>
      <c r="B317" s="5" t="s">
        <v>227</v>
      </c>
      <c r="C317" s="5">
        <v>22</v>
      </c>
      <c r="D317" s="5">
        <v>26</v>
      </c>
      <c r="E317" s="5">
        <v>4</v>
      </c>
      <c r="F317" s="5">
        <v>7</v>
      </c>
      <c r="G317" s="6">
        <v>633.57604790250002</v>
      </c>
      <c r="H317" s="6">
        <v>690</v>
      </c>
      <c r="I317" s="7">
        <v>46141</v>
      </c>
      <c r="J317" s="5"/>
      <c r="L317" s="3">
        <v>3.1</v>
      </c>
      <c r="M317" s="3">
        <v>21</v>
      </c>
      <c r="O317" s="3" t="s">
        <v>688</v>
      </c>
      <c r="P317" s="3">
        <v>7</v>
      </c>
      <c r="Q317" s="3">
        <v>0</v>
      </c>
      <c r="R317" s="10" t="s">
        <v>692</v>
      </c>
      <c r="S317" s="3" t="s">
        <v>684</v>
      </c>
    </row>
    <row r="318" spans="1:19" s="3" customFormat="1" ht="30" customHeight="1" x14ac:dyDescent="0.3">
      <c r="A318" s="4" t="s">
        <v>658</v>
      </c>
      <c r="B318" s="5" t="s">
        <v>315</v>
      </c>
      <c r="C318" s="5">
        <v>28</v>
      </c>
      <c r="D318" s="5">
        <v>32</v>
      </c>
      <c r="E318" s="5">
        <v>4</v>
      </c>
      <c r="F318" s="5">
        <v>5</v>
      </c>
      <c r="G318" s="6">
        <v>599.44444444440001</v>
      </c>
      <c r="H318" s="6">
        <v>603</v>
      </c>
      <c r="I318" s="7">
        <v>46086</v>
      </c>
      <c r="J318" s="5"/>
      <c r="L318" s="3">
        <v>5.6</v>
      </c>
      <c r="M318" s="3">
        <v>15</v>
      </c>
      <c r="O318" s="3" t="s">
        <v>688</v>
      </c>
      <c r="P318" s="3">
        <v>5</v>
      </c>
      <c r="Q318" s="3">
        <v>0</v>
      </c>
      <c r="R318" s="10" t="s">
        <v>692</v>
      </c>
      <c r="S318" s="3" t="s">
        <v>684</v>
      </c>
    </row>
    <row r="319" spans="1:19" s="3" customFormat="1" ht="30" customHeight="1" x14ac:dyDescent="0.3">
      <c r="A319" s="4" t="s">
        <v>659</v>
      </c>
      <c r="B319" s="5" t="s">
        <v>158</v>
      </c>
      <c r="C319" s="5">
        <v>43</v>
      </c>
      <c r="D319" s="5">
        <v>74</v>
      </c>
      <c r="E319" s="5">
        <v>31</v>
      </c>
      <c r="F319" s="5">
        <v>56</v>
      </c>
      <c r="G319" s="6">
        <v>45.734229670200001</v>
      </c>
      <c r="H319" s="6">
        <v>45.63</v>
      </c>
      <c r="I319" s="7">
        <v>46062</v>
      </c>
      <c r="J319" s="5"/>
      <c r="L319" s="3">
        <v>0.8</v>
      </c>
      <c r="M319" s="3">
        <v>168</v>
      </c>
      <c r="O319" s="3" t="s">
        <v>688</v>
      </c>
      <c r="P319" s="3">
        <v>56</v>
      </c>
      <c r="Q319" s="3">
        <v>180</v>
      </c>
      <c r="R319" s="10" t="s">
        <v>692</v>
      </c>
      <c r="S319" s="3" t="s">
        <v>687</v>
      </c>
    </row>
    <row r="320" spans="1:19" s="3" customFormat="1" ht="30" customHeight="1" x14ac:dyDescent="0.3">
      <c r="A320" s="4" t="s">
        <v>660</v>
      </c>
      <c r="B320" s="5" t="s">
        <v>274</v>
      </c>
      <c r="C320" s="5">
        <v>7</v>
      </c>
      <c r="D320" s="5">
        <v>8</v>
      </c>
      <c r="E320" s="5">
        <v>1</v>
      </c>
      <c r="F320" s="5">
        <v>0</v>
      </c>
      <c r="G320" s="6">
        <v>1985.7142799107</v>
      </c>
      <c r="H320" s="6">
        <v>2400</v>
      </c>
      <c r="I320" s="7">
        <v>46066</v>
      </c>
      <c r="J320" s="5"/>
      <c r="O320" s="3" t="s">
        <v>688</v>
      </c>
      <c r="P320" s="3">
        <v>0</v>
      </c>
      <c r="Q320" s="3" t="s">
        <v>689</v>
      </c>
      <c r="R320" s="10" t="s">
        <v>689</v>
      </c>
      <c r="S320" s="3" t="s">
        <v>704</v>
      </c>
    </row>
    <row r="321" spans="1:19" s="3" customFormat="1" ht="30" customHeight="1" x14ac:dyDescent="0.3">
      <c r="A321" s="4" t="s">
        <v>661</v>
      </c>
      <c r="B321" s="5" t="s">
        <v>68</v>
      </c>
      <c r="C321" s="5">
        <v>0</v>
      </c>
      <c r="D321" s="5">
        <v>0</v>
      </c>
      <c r="E321" s="5">
        <v>0</v>
      </c>
      <c r="F321" s="5">
        <v>0</v>
      </c>
      <c r="G321" s="6">
        <v>22.99</v>
      </c>
      <c r="H321" s="6">
        <v>31.4</v>
      </c>
      <c r="I321" s="7">
        <v>45202</v>
      </c>
      <c r="J321" s="5"/>
      <c r="O321" s="3" t="s">
        <v>688</v>
      </c>
      <c r="P321" s="3">
        <v>0</v>
      </c>
      <c r="Q321" s="3" t="s">
        <v>689</v>
      </c>
      <c r="R321" s="10" t="s">
        <v>689</v>
      </c>
      <c r="S321" s="3" t="s">
        <v>703</v>
      </c>
    </row>
    <row r="322" spans="1:19" s="3" customFormat="1" ht="30" customHeight="1" x14ac:dyDescent="0.3">
      <c r="A322" s="4" t="s">
        <v>662</v>
      </c>
      <c r="B322" s="5" t="s">
        <v>47</v>
      </c>
      <c r="C322" s="5">
        <v>2</v>
      </c>
      <c r="D322" s="5">
        <v>2</v>
      </c>
      <c r="E322" s="5">
        <v>0</v>
      </c>
      <c r="F322" s="5">
        <v>0</v>
      </c>
      <c r="G322" s="6">
        <v>1900</v>
      </c>
      <c r="H322" s="6">
        <v>1900</v>
      </c>
      <c r="I322" s="7">
        <v>45873</v>
      </c>
      <c r="J322" s="5"/>
      <c r="O322" s="3" t="s">
        <v>688</v>
      </c>
      <c r="P322" s="3">
        <v>0</v>
      </c>
      <c r="Q322" s="3" t="s">
        <v>689</v>
      </c>
      <c r="R322" s="10" t="s">
        <v>689</v>
      </c>
      <c r="S322" s="3" t="s">
        <v>704</v>
      </c>
    </row>
    <row r="323" spans="1:19" s="3" customFormat="1" ht="30" customHeight="1" x14ac:dyDescent="0.3">
      <c r="A323" s="4" t="s">
        <v>663</v>
      </c>
      <c r="B323" s="5" t="s">
        <v>135</v>
      </c>
      <c r="C323" s="5">
        <v>0</v>
      </c>
      <c r="D323" s="5">
        <v>8</v>
      </c>
      <c r="E323" s="5">
        <v>8</v>
      </c>
      <c r="F323" s="5">
        <v>0</v>
      </c>
      <c r="G323" s="6">
        <v>563.43124999999998</v>
      </c>
      <c r="H323" s="6">
        <v>547.49</v>
      </c>
      <c r="I323" s="7">
        <v>45714</v>
      </c>
      <c r="J323" s="5"/>
      <c r="O323" s="3" t="s">
        <v>688</v>
      </c>
      <c r="P323" s="3">
        <v>0</v>
      </c>
      <c r="Q323" s="3" t="s">
        <v>689</v>
      </c>
      <c r="R323" s="10" t="s">
        <v>689</v>
      </c>
      <c r="S323" s="3" t="s">
        <v>703</v>
      </c>
    </row>
    <row r="324" spans="1:19" s="3" customFormat="1" ht="30" customHeight="1" x14ac:dyDescent="0.3">
      <c r="A324" s="4" t="s">
        <v>664</v>
      </c>
      <c r="B324" s="5" t="s">
        <v>61</v>
      </c>
      <c r="C324" s="5">
        <v>1</v>
      </c>
      <c r="D324" s="5">
        <v>3</v>
      </c>
      <c r="E324" s="5">
        <v>2</v>
      </c>
      <c r="F324" s="5">
        <v>0</v>
      </c>
      <c r="G324" s="6">
        <v>549.46438131310003</v>
      </c>
      <c r="H324" s="6">
        <v>563.99</v>
      </c>
      <c r="I324" s="7">
        <v>45985</v>
      </c>
      <c r="J324" s="5"/>
      <c r="O324" s="3" t="s">
        <v>688</v>
      </c>
      <c r="P324" s="3">
        <v>0</v>
      </c>
      <c r="Q324" s="3" t="s">
        <v>689</v>
      </c>
      <c r="R324" s="10" t="s">
        <v>689</v>
      </c>
      <c r="S324" s="3" t="s">
        <v>704</v>
      </c>
    </row>
    <row r="325" spans="1:19" s="3" customFormat="1" ht="30" customHeight="1" x14ac:dyDescent="0.3">
      <c r="A325" s="4" t="s">
        <v>665</v>
      </c>
      <c r="B325" s="5" t="s">
        <v>123</v>
      </c>
      <c r="C325" s="5">
        <v>1</v>
      </c>
      <c r="D325" s="5">
        <v>1</v>
      </c>
      <c r="E325" s="5">
        <v>0</v>
      </c>
      <c r="F325" s="5">
        <v>0</v>
      </c>
      <c r="G325" s="6">
        <v>2034.25</v>
      </c>
      <c r="H325" s="6">
        <v>2034.5</v>
      </c>
      <c r="I325" s="7">
        <v>46097</v>
      </c>
      <c r="J325" s="5"/>
      <c r="O325" s="3" t="s">
        <v>688</v>
      </c>
      <c r="P325" s="3">
        <v>0</v>
      </c>
      <c r="Q325" s="3" t="s">
        <v>689</v>
      </c>
      <c r="R325" s="10" t="s">
        <v>689</v>
      </c>
      <c r="S325" s="3" t="s">
        <v>704</v>
      </c>
    </row>
    <row r="326" spans="1:19" s="3" customFormat="1" ht="30" customHeight="1" x14ac:dyDescent="0.3">
      <c r="A326" s="4" t="s">
        <v>666</v>
      </c>
      <c r="B326" s="5" t="s">
        <v>80</v>
      </c>
      <c r="C326" s="5">
        <v>1</v>
      </c>
      <c r="D326" s="5">
        <v>1</v>
      </c>
      <c r="E326" s="5">
        <v>0</v>
      </c>
      <c r="F326" s="5">
        <v>0</v>
      </c>
      <c r="G326" s="6">
        <v>2034.5</v>
      </c>
      <c r="H326" s="6">
        <v>2034.5</v>
      </c>
      <c r="I326" s="7">
        <v>46097</v>
      </c>
      <c r="J326" s="5"/>
      <c r="O326" s="3" t="s">
        <v>688</v>
      </c>
      <c r="P326" s="3">
        <v>0</v>
      </c>
      <c r="Q326" s="3" t="s">
        <v>689</v>
      </c>
      <c r="R326" s="10" t="s">
        <v>689</v>
      </c>
      <c r="S326" s="3" t="s">
        <v>704</v>
      </c>
    </row>
    <row r="327" spans="1:19" s="3" customFormat="1" ht="30" customHeight="1" x14ac:dyDescent="0.3">
      <c r="A327" s="4" t="s">
        <v>667</v>
      </c>
      <c r="B327" s="5" t="s">
        <v>36</v>
      </c>
      <c r="C327" s="5">
        <v>0</v>
      </c>
      <c r="D327" s="5">
        <v>0</v>
      </c>
      <c r="E327" s="5">
        <v>0</v>
      </c>
      <c r="F327" s="5">
        <v>0</v>
      </c>
      <c r="G327" s="6">
        <v>2034.5</v>
      </c>
      <c r="H327" s="6">
        <v>2034.5</v>
      </c>
      <c r="I327" s="7">
        <v>45110</v>
      </c>
      <c r="J327" s="5"/>
      <c r="O327" s="3" t="s">
        <v>688</v>
      </c>
      <c r="P327" s="3">
        <v>0</v>
      </c>
      <c r="Q327" s="3" t="s">
        <v>689</v>
      </c>
      <c r="R327" s="10" t="s">
        <v>689</v>
      </c>
      <c r="S327" s="3" t="s">
        <v>703</v>
      </c>
    </row>
    <row r="328" spans="1:19" s="3" customFormat="1" ht="30" customHeight="1" x14ac:dyDescent="0.3">
      <c r="A328" s="4" t="s">
        <v>668</v>
      </c>
      <c r="B328" s="5" t="s">
        <v>112</v>
      </c>
      <c r="C328" s="5">
        <v>0</v>
      </c>
      <c r="D328" s="5">
        <v>0</v>
      </c>
      <c r="E328" s="5">
        <v>0</v>
      </c>
      <c r="F328" s="5">
        <v>0</v>
      </c>
      <c r="G328" s="6">
        <v>4500</v>
      </c>
      <c r="H328" s="6">
        <v>4500</v>
      </c>
      <c r="I328" s="7">
        <v>45455</v>
      </c>
      <c r="J328" s="5"/>
      <c r="O328" s="3" t="s">
        <v>688</v>
      </c>
      <c r="P328" s="3">
        <v>0</v>
      </c>
      <c r="Q328" s="3" t="s">
        <v>689</v>
      </c>
      <c r="R328" s="10" t="s">
        <v>689</v>
      </c>
      <c r="S328" s="3" t="s">
        <v>703</v>
      </c>
    </row>
    <row r="329" spans="1:19" s="3" customFormat="1" ht="30" customHeight="1" x14ac:dyDescent="0.3">
      <c r="A329" s="4" t="s">
        <v>669</v>
      </c>
      <c r="B329" s="5" t="s">
        <v>179</v>
      </c>
      <c r="C329" s="5">
        <v>36</v>
      </c>
      <c r="D329" s="5">
        <v>44</v>
      </c>
      <c r="E329" s="5">
        <v>8</v>
      </c>
      <c r="F329" s="5">
        <v>16</v>
      </c>
      <c r="G329" s="6">
        <v>25.002821408900001</v>
      </c>
      <c r="H329" s="6">
        <v>24.95</v>
      </c>
      <c r="I329" s="7">
        <v>46065</v>
      </c>
      <c r="J329" s="5"/>
      <c r="L329" s="3">
        <v>2.2000000000000002</v>
      </c>
      <c r="M329" s="3">
        <v>48</v>
      </c>
      <c r="O329" s="3" t="s">
        <v>688</v>
      </c>
      <c r="P329" s="3">
        <v>16</v>
      </c>
      <c r="Q329" s="3">
        <v>29</v>
      </c>
      <c r="R329" s="10" t="s">
        <v>692</v>
      </c>
      <c r="S329" s="3" t="s">
        <v>686</v>
      </c>
    </row>
    <row r="330" spans="1:19" s="3" customFormat="1" ht="30" customHeight="1" x14ac:dyDescent="0.3">
      <c r="A330" s="4" t="s">
        <v>670</v>
      </c>
      <c r="B330" s="5" t="s">
        <v>259</v>
      </c>
      <c r="C330" s="5">
        <v>21</v>
      </c>
      <c r="D330" s="5">
        <v>27</v>
      </c>
      <c r="E330" s="5">
        <v>6</v>
      </c>
      <c r="F330" s="5">
        <v>3</v>
      </c>
      <c r="G330" s="6">
        <v>61.441059129300001</v>
      </c>
      <c r="H330" s="6">
        <v>72.56</v>
      </c>
      <c r="I330" s="7">
        <v>45625</v>
      </c>
      <c r="J330" s="5"/>
      <c r="L330" s="3">
        <v>7</v>
      </c>
      <c r="M330" s="3">
        <v>9</v>
      </c>
      <c r="O330" s="3" t="s">
        <v>688</v>
      </c>
      <c r="P330" s="3">
        <v>3</v>
      </c>
      <c r="Q330" s="3">
        <v>0</v>
      </c>
      <c r="R330" s="10" t="s">
        <v>692</v>
      </c>
      <c r="S330" s="3" t="s">
        <v>684</v>
      </c>
    </row>
    <row r="331" spans="1:19" s="3" customFormat="1" ht="30" customHeight="1" x14ac:dyDescent="0.3">
      <c r="A331" s="4" t="s">
        <v>671</v>
      </c>
      <c r="B331" s="5" t="s">
        <v>217</v>
      </c>
      <c r="C331" s="5">
        <v>2280</v>
      </c>
      <c r="D331" s="5">
        <v>2443</v>
      </c>
      <c r="E331" s="5">
        <v>163</v>
      </c>
      <c r="F331" s="5">
        <v>476</v>
      </c>
      <c r="G331" s="6">
        <v>60.757800126299998</v>
      </c>
      <c r="H331" s="6">
        <v>65</v>
      </c>
      <c r="I331" s="7">
        <v>46141</v>
      </c>
      <c r="J331" s="5" t="s">
        <v>690</v>
      </c>
      <c r="K331" s="3">
        <v>15</v>
      </c>
      <c r="L331" s="3">
        <v>4.8</v>
      </c>
      <c r="M331" s="3">
        <v>1428</v>
      </c>
      <c r="N331" s="3">
        <v>3.1512605042016806E-2</v>
      </c>
      <c r="O331" s="3" t="s">
        <v>688</v>
      </c>
      <c r="P331" s="3">
        <v>476</v>
      </c>
      <c r="Q331" s="3">
        <v>0</v>
      </c>
      <c r="R331" s="10" t="s">
        <v>692</v>
      </c>
      <c r="S331" s="3" t="s">
        <v>684</v>
      </c>
    </row>
    <row r="332" spans="1:19" s="3" customFormat="1" ht="30" customHeight="1" x14ac:dyDescent="0.3">
      <c r="A332" s="4" t="s">
        <v>672</v>
      </c>
      <c r="B332" s="5" t="s">
        <v>273</v>
      </c>
      <c r="C332" s="5">
        <v>5</v>
      </c>
      <c r="D332" s="5">
        <v>8</v>
      </c>
      <c r="E332" s="5">
        <v>3</v>
      </c>
      <c r="F332" s="5">
        <v>2</v>
      </c>
      <c r="G332" s="6">
        <v>143.2021890625</v>
      </c>
      <c r="H332" s="6">
        <v>143.55000000000001</v>
      </c>
      <c r="I332" s="7">
        <v>46062</v>
      </c>
      <c r="J332" s="5"/>
      <c r="L332" s="3">
        <v>2.5</v>
      </c>
      <c r="M332" s="3">
        <v>6</v>
      </c>
      <c r="O332" s="3" t="s">
        <v>688</v>
      </c>
      <c r="P332" s="3">
        <v>2</v>
      </c>
      <c r="Q332" s="3">
        <v>3</v>
      </c>
      <c r="R332" s="10" t="s">
        <v>692</v>
      </c>
      <c r="S332" s="3" t="s">
        <v>686</v>
      </c>
    </row>
    <row r="333" spans="1:19" s="3" customFormat="1" ht="30" customHeight="1" x14ac:dyDescent="0.3">
      <c r="A333" s="4" t="s">
        <v>673</v>
      </c>
      <c r="B333" s="5" t="s">
        <v>262</v>
      </c>
      <c r="C333" s="5">
        <v>119</v>
      </c>
      <c r="D333" s="5">
        <v>143</v>
      </c>
      <c r="E333" s="5">
        <v>24</v>
      </c>
      <c r="F333" s="5">
        <v>18</v>
      </c>
      <c r="G333" s="6">
        <v>9.0386051583999993</v>
      </c>
      <c r="H333" s="6">
        <v>9</v>
      </c>
      <c r="I333" s="7">
        <v>46064</v>
      </c>
      <c r="J333" s="5" t="s">
        <v>690</v>
      </c>
      <c r="K333" s="3">
        <v>2</v>
      </c>
      <c r="L333" s="3">
        <v>6.6</v>
      </c>
      <c r="M333" s="3">
        <v>54</v>
      </c>
      <c r="N333" s="3">
        <v>0.1111111111111111</v>
      </c>
      <c r="O333" s="3" t="s">
        <v>688</v>
      </c>
      <c r="P333" s="3">
        <v>18</v>
      </c>
      <c r="Q333" s="3">
        <v>0</v>
      </c>
      <c r="R333" s="10" t="s">
        <v>692</v>
      </c>
      <c r="S333" s="3" t="s">
        <v>684</v>
      </c>
    </row>
    <row r="334" spans="1:19" s="3" customFormat="1" ht="30" customHeight="1" x14ac:dyDescent="0.3">
      <c r="A334" s="4" t="s">
        <v>674</v>
      </c>
      <c r="B334" s="5" t="s">
        <v>37</v>
      </c>
      <c r="C334" s="5">
        <v>0</v>
      </c>
      <c r="D334" s="5">
        <v>0</v>
      </c>
      <c r="E334" s="5">
        <v>0</v>
      </c>
      <c r="F334" s="5">
        <v>0</v>
      </c>
      <c r="G334" s="6">
        <v>59000</v>
      </c>
      <c r="H334" s="6">
        <v>62130</v>
      </c>
      <c r="I334" s="7">
        <v>46113</v>
      </c>
      <c r="J334" s="5"/>
      <c r="O334" s="3" t="s">
        <v>688</v>
      </c>
      <c r="P334" s="3">
        <v>0</v>
      </c>
      <c r="Q334" s="3" t="s">
        <v>689</v>
      </c>
      <c r="R334" s="10" t="s">
        <v>689</v>
      </c>
      <c r="S334" s="3" t="s">
        <v>703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12D16-D361-4187-B317-5112F906FE18}">
  <sheetPr codeName="Planilha2"/>
  <dimension ref="A2:E342"/>
  <sheetViews>
    <sheetView showGridLines="0" topLeftCell="A13" zoomScale="70" zoomScaleNormal="70" workbookViewId="0">
      <selection activeCell="A16" sqref="A16"/>
    </sheetView>
  </sheetViews>
  <sheetFormatPr defaultRowHeight="30" customHeight="1" x14ac:dyDescent="0.3"/>
  <cols>
    <col min="1" max="1" width="33.21875" style="11" bestFit="1" customWidth="1"/>
    <col min="2" max="2" width="41" style="12" bestFit="1" customWidth="1"/>
    <col min="3" max="3" width="25.21875" style="20" bestFit="1" customWidth="1"/>
    <col min="4" max="4" width="40" style="12" bestFit="1" customWidth="1"/>
    <col min="5" max="5" width="30.88671875" style="12" bestFit="1" customWidth="1"/>
    <col min="6" max="16384" width="8.88671875" style="12"/>
  </cols>
  <sheetData>
    <row r="2" spans="1:5" ht="42.6" customHeight="1" x14ac:dyDescent="0.3">
      <c r="A2" s="28" t="s">
        <v>698</v>
      </c>
      <c r="B2" s="28"/>
    </row>
    <row r="3" spans="1:5" ht="7.8" customHeight="1" thickBot="1" x14ac:dyDescent="0.35">
      <c r="A3" s="24"/>
      <c r="B3" s="24"/>
    </row>
    <row r="4" spans="1:5" ht="30" customHeight="1" x14ac:dyDescent="0.3">
      <c r="A4" s="15" t="s">
        <v>696</v>
      </c>
    </row>
    <row r="5" spans="1:5" ht="30" customHeight="1" thickBot="1" x14ac:dyDescent="0.35">
      <c r="A5" s="16">
        <f>GETPIVOTDATA("DESCRIÇÃO",$A$6)</f>
        <v>333</v>
      </c>
    </row>
    <row r="6" spans="1:5" ht="30" customHeight="1" thickBot="1" x14ac:dyDescent="0.35">
      <c r="A6" s="18" t="s">
        <v>695</v>
      </c>
      <c r="E6"/>
    </row>
    <row r="7" spans="1:5" ht="30" customHeight="1" thickBot="1" x14ac:dyDescent="0.35">
      <c r="A7" s="17">
        <v>333</v>
      </c>
      <c r="E7"/>
    </row>
    <row r="8" spans="1:5" ht="30" customHeight="1" x14ac:dyDescent="0.3">
      <c r="E8"/>
    </row>
    <row r="9" spans="1:5" ht="30" customHeight="1" x14ac:dyDescent="0.3">
      <c r="A9" s="26" t="s">
        <v>693</v>
      </c>
      <c r="B9" s="26" t="s">
        <v>697</v>
      </c>
      <c r="C9" s="25" t="s">
        <v>698</v>
      </c>
      <c r="D9"/>
      <c r="E9"/>
    </row>
    <row r="10" spans="1:5" ht="30" customHeight="1" x14ac:dyDescent="0.3">
      <c r="A10" s="13" t="s">
        <v>686</v>
      </c>
      <c r="B10" s="14">
        <v>45</v>
      </c>
      <c r="C10" s="22">
        <f>GETPIVOTDATA("NIVEL DO ESTOQUE",$A$9,"NIVEL DO ESTOQUE","Atenção")</f>
        <v>45</v>
      </c>
      <c r="D10"/>
      <c r="E10"/>
    </row>
    <row r="11" spans="1:5" ht="30" customHeight="1" x14ac:dyDescent="0.3">
      <c r="A11" s="13" t="s">
        <v>687</v>
      </c>
      <c r="B11" s="14">
        <v>17</v>
      </c>
      <c r="C11" s="22">
        <f>GETPIVOTDATA("NIVEL DO ESTOQUE",$A$9,"NIVEL DO ESTOQUE","Crítico")</f>
        <v>17</v>
      </c>
      <c r="D11"/>
      <c r="E11"/>
    </row>
    <row r="12" spans="1:5" ht="30" customHeight="1" x14ac:dyDescent="0.3">
      <c r="A12" s="13" t="s">
        <v>685</v>
      </c>
      <c r="B12" s="14">
        <v>133</v>
      </c>
      <c r="C12" s="22">
        <f>GETPIVOTDATA("NIVEL DO ESTOQUE",$A$9,"NIVEL DO ESTOQUE","Sem CMM")</f>
        <v>133</v>
      </c>
      <c r="D12"/>
      <c r="E12"/>
    </row>
    <row r="13" spans="1:5" ht="30" customHeight="1" x14ac:dyDescent="0.3">
      <c r="A13" s="13" t="s">
        <v>694</v>
      </c>
      <c r="B13" s="14">
        <v>195</v>
      </c>
      <c r="C13" s="23"/>
      <c r="D13"/>
    </row>
    <row r="14" spans="1:5" ht="30" customHeight="1" x14ac:dyDescent="0.3">
      <c r="A14"/>
      <c r="B14"/>
      <c r="C14" s="21"/>
      <c r="D14"/>
    </row>
    <row r="15" spans="1:5" ht="30" customHeight="1" x14ac:dyDescent="0.3">
      <c r="A15" s="27" t="s">
        <v>699</v>
      </c>
      <c r="B15"/>
      <c r="C15" s="21"/>
      <c r="D15"/>
    </row>
    <row r="16" spans="1:5" ht="25.8" x14ac:dyDescent="0.3">
      <c r="A16" s="26" t="s">
        <v>693</v>
      </c>
      <c r="B16" s="26" t="s">
        <v>697</v>
      </c>
      <c r="C16" s="21"/>
      <c r="D16"/>
    </row>
    <row r="17" spans="1:4" ht="25.8" x14ac:dyDescent="0.3">
      <c r="A17" s="13" t="s">
        <v>687</v>
      </c>
      <c r="B17" s="14">
        <v>17</v>
      </c>
      <c r="C17" s="21"/>
      <c r="D17"/>
    </row>
    <row r="18" spans="1:4" ht="25.8" x14ac:dyDescent="0.3">
      <c r="A18" s="13" t="s">
        <v>686</v>
      </c>
      <c r="B18" s="14">
        <v>45</v>
      </c>
      <c r="C18" s="21"/>
      <c r="D18"/>
    </row>
    <row r="19" spans="1:4" ht="25.8" x14ac:dyDescent="0.3">
      <c r="A19" s="13" t="s">
        <v>685</v>
      </c>
      <c r="B19" s="14">
        <v>133</v>
      </c>
      <c r="C19" s="21"/>
      <c r="D19"/>
    </row>
    <row r="20" spans="1:4" ht="25.8" x14ac:dyDescent="0.3">
      <c r="A20" s="13" t="s">
        <v>684</v>
      </c>
      <c r="B20" s="14">
        <v>138</v>
      </c>
      <c r="C20" s="21"/>
      <c r="D20"/>
    </row>
    <row r="21" spans="1:4" ht="25.8" x14ac:dyDescent="0.3">
      <c r="A21" s="13" t="s">
        <v>694</v>
      </c>
      <c r="B21" s="14">
        <v>333</v>
      </c>
      <c r="C21" s="21"/>
      <c r="D21"/>
    </row>
    <row r="22" spans="1:4" ht="30" customHeight="1" x14ac:dyDescent="0.3">
      <c r="A22"/>
      <c r="B22"/>
      <c r="C22" s="21"/>
      <c r="D22"/>
    </row>
    <row r="23" spans="1:4" ht="30" customHeight="1" x14ac:dyDescent="0.3">
      <c r="A23" s="27" t="s">
        <v>700</v>
      </c>
      <c r="B23"/>
      <c r="C23" s="21"/>
      <c r="D23"/>
    </row>
    <row r="24" spans="1:4" ht="30" customHeight="1" x14ac:dyDescent="0.3">
      <c r="A24" s="19" t="s">
        <v>693</v>
      </c>
      <c r="B24" s="26" t="s">
        <v>701</v>
      </c>
      <c r="C24"/>
      <c r="D24"/>
    </row>
    <row r="25" spans="1:4" ht="30" customHeight="1" x14ac:dyDescent="0.3">
      <c r="A25" s="13" t="s">
        <v>702</v>
      </c>
      <c r="B25" s="14">
        <v>1</v>
      </c>
      <c r="C25"/>
      <c r="D25"/>
    </row>
    <row r="26" spans="1:4" ht="30" customHeight="1" x14ac:dyDescent="0.3">
      <c r="A26" s="13" t="s">
        <v>688</v>
      </c>
      <c r="B26" s="14">
        <v>332</v>
      </c>
      <c r="C26"/>
      <c r="D26"/>
    </row>
    <row r="27" spans="1:4" ht="30" customHeight="1" x14ac:dyDescent="0.3">
      <c r="A27" s="13" t="s">
        <v>694</v>
      </c>
      <c r="B27" s="14">
        <v>333</v>
      </c>
      <c r="C27"/>
      <c r="D27"/>
    </row>
    <row r="28" spans="1:4" ht="30" customHeight="1" x14ac:dyDescent="0.3">
      <c r="A28"/>
      <c r="B28"/>
      <c r="C28"/>
      <c r="D28"/>
    </row>
    <row r="29" spans="1:4" ht="30" customHeight="1" x14ac:dyDescent="0.3">
      <c r="A29"/>
      <c r="B29"/>
      <c r="C29"/>
      <c r="D29"/>
    </row>
    <row r="30" spans="1:4" ht="30" customHeight="1" x14ac:dyDescent="0.3">
      <c r="A30"/>
      <c r="B30"/>
      <c r="C30"/>
      <c r="D30"/>
    </row>
    <row r="31" spans="1:4" ht="30" customHeight="1" x14ac:dyDescent="0.3">
      <c r="A31"/>
      <c r="B31"/>
      <c r="C31"/>
      <c r="D31"/>
    </row>
    <row r="32" spans="1:4" ht="30" customHeight="1" x14ac:dyDescent="0.3">
      <c r="A32"/>
      <c r="B32"/>
      <c r="C32"/>
      <c r="D32"/>
    </row>
    <row r="33" spans="1:4" ht="30" customHeight="1" x14ac:dyDescent="0.3">
      <c r="A33"/>
      <c r="B33"/>
      <c r="C33"/>
      <c r="D33"/>
    </row>
    <row r="34" spans="1:4" ht="30" customHeight="1" x14ac:dyDescent="0.3">
      <c r="A34"/>
      <c r="B34"/>
      <c r="C34"/>
      <c r="D34"/>
    </row>
    <row r="35" spans="1:4" ht="30" customHeight="1" x14ac:dyDescent="0.3">
      <c r="A35"/>
      <c r="B35"/>
      <c r="C35"/>
      <c r="D35"/>
    </row>
    <row r="36" spans="1:4" ht="30" customHeight="1" x14ac:dyDescent="0.3">
      <c r="A36"/>
      <c r="B36"/>
      <c r="C36"/>
      <c r="D36"/>
    </row>
    <row r="37" spans="1:4" ht="30" customHeight="1" x14ac:dyDescent="0.3">
      <c r="A37"/>
      <c r="B37"/>
      <c r="C37"/>
      <c r="D37"/>
    </row>
    <row r="38" spans="1:4" ht="30" customHeight="1" x14ac:dyDescent="0.3">
      <c r="A38"/>
      <c r="B38"/>
      <c r="C38"/>
      <c r="D38"/>
    </row>
    <row r="39" spans="1:4" ht="30" customHeight="1" x14ac:dyDescent="0.3">
      <c r="A39"/>
      <c r="B39"/>
      <c r="C39"/>
      <c r="D39"/>
    </row>
    <row r="40" spans="1:4" ht="30" customHeight="1" x14ac:dyDescent="0.3">
      <c r="A40"/>
      <c r="B40"/>
      <c r="C40"/>
      <c r="D40"/>
    </row>
    <row r="41" spans="1:4" ht="30" customHeight="1" x14ac:dyDescent="0.3">
      <c r="A41"/>
      <c r="B41"/>
      <c r="C41"/>
      <c r="D41"/>
    </row>
    <row r="42" spans="1:4" ht="30" customHeight="1" x14ac:dyDescent="0.3">
      <c r="C42" s="21"/>
      <c r="D42"/>
    </row>
    <row r="43" spans="1:4" ht="30" customHeight="1" x14ac:dyDescent="0.3">
      <c r="C43" s="21"/>
      <c r="D43"/>
    </row>
    <row r="44" spans="1:4" ht="30" customHeight="1" x14ac:dyDescent="0.3">
      <c r="C44" s="21"/>
      <c r="D44"/>
    </row>
    <row r="45" spans="1:4" ht="30" customHeight="1" x14ac:dyDescent="0.3">
      <c r="C45" s="21"/>
      <c r="D45"/>
    </row>
    <row r="46" spans="1:4" ht="30" customHeight="1" x14ac:dyDescent="0.3">
      <c r="C46" s="21"/>
      <c r="D46"/>
    </row>
    <row r="47" spans="1:4" ht="30" customHeight="1" x14ac:dyDescent="0.3">
      <c r="C47" s="21"/>
      <c r="D47"/>
    </row>
    <row r="48" spans="1:4" ht="30" customHeight="1" x14ac:dyDescent="0.3">
      <c r="C48" s="21"/>
      <c r="D48"/>
    </row>
    <row r="49" spans="3:4" ht="30" customHeight="1" x14ac:dyDescent="0.3">
      <c r="C49" s="21"/>
      <c r="D49"/>
    </row>
    <row r="50" spans="3:4" ht="30" customHeight="1" x14ac:dyDescent="0.3">
      <c r="C50" s="21"/>
      <c r="D50"/>
    </row>
    <row r="51" spans="3:4" ht="30" customHeight="1" x14ac:dyDescent="0.3">
      <c r="C51" s="21"/>
      <c r="D51"/>
    </row>
    <row r="52" spans="3:4" ht="30" customHeight="1" x14ac:dyDescent="0.3">
      <c r="C52" s="21"/>
      <c r="D52"/>
    </row>
    <row r="53" spans="3:4" ht="30" customHeight="1" x14ac:dyDescent="0.3">
      <c r="C53" s="21"/>
      <c r="D53"/>
    </row>
    <row r="54" spans="3:4" ht="30" customHeight="1" x14ac:dyDescent="0.3">
      <c r="C54" s="21"/>
      <c r="D54"/>
    </row>
    <row r="55" spans="3:4" ht="30" customHeight="1" x14ac:dyDescent="0.3">
      <c r="C55" s="21"/>
      <c r="D55"/>
    </row>
    <row r="56" spans="3:4" ht="30" customHeight="1" x14ac:dyDescent="0.3">
      <c r="C56" s="21"/>
      <c r="D56"/>
    </row>
    <row r="57" spans="3:4" ht="30" customHeight="1" x14ac:dyDescent="0.3">
      <c r="C57" s="21"/>
      <c r="D57"/>
    </row>
    <row r="58" spans="3:4" ht="30" customHeight="1" x14ac:dyDescent="0.3">
      <c r="C58" s="21"/>
      <c r="D58"/>
    </row>
    <row r="59" spans="3:4" ht="30" customHeight="1" x14ac:dyDescent="0.3">
      <c r="C59" s="21"/>
      <c r="D59"/>
    </row>
    <row r="60" spans="3:4" ht="30" customHeight="1" x14ac:dyDescent="0.3">
      <c r="C60" s="21"/>
      <c r="D60"/>
    </row>
    <row r="61" spans="3:4" ht="30" customHeight="1" x14ac:dyDescent="0.3">
      <c r="C61" s="21"/>
      <c r="D61"/>
    </row>
    <row r="62" spans="3:4" ht="30" customHeight="1" x14ac:dyDescent="0.3">
      <c r="C62" s="21"/>
      <c r="D62"/>
    </row>
    <row r="63" spans="3:4" ht="30" customHeight="1" x14ac:dyDescent="0.3">
      <c r="C63" s="21"/>
      <c r="D63"/>
    </row>
    <row r="64" spans="3:4" ht="30" customHeight="1" x14ac:dyDescent="0.3">
      <c r="C64" s="21"/>
      <c r="D64"/>
    </row>
    <row r="65" spans="3:4" ht="30" customHeight="1" x14ac:dyDescent="0.3">
      <c r="C65" s="21"/>
      <c r="D65"/>
    </row>
    <row r="66" spans="3:4" ht="30" customHeight="1" x14ac:dyDescent="0.3">
      <c r="C66" s="21"/>
      <c r="D66"/>
    </row>
    <row r="67" spans="3:4" ht="30" customHeight="1" x14ac:dyDescent="0.3">
      <c r="C67" s="21"/>
      <c r="D67"/>
    </row>
    <row r="68" spans="3:4" ht="30" customHeight="1" x14ac:dyDescent="0.3">
      <c r="C68" s="21"/>
      <c r="D68"/>
    </row>
    <row r="69" spans="3:4" ht="30" customHeight="1" x14ac:dyDescent="0.3">
      <c r="C69" s="21"/>
      <c r="D69"/>
    </row>
    <row r="70" spans="3:4" ht="30" customHeight="1" x14ac:dyDescent="0.3">
      <c r="C70" s="21"/>
      <c r="D70"/>
    </row>
    <row r="71" spans="3:4" ht="30" customHeight="1" x14ac:dyDescent="0.3">
      <c r="C71" s="21"/>
      <c r="D71"/>
    </row>
    <row r="72" spans="3:4" ht="30" customHeight="1" x14ac:dyDescent="0.3">
      <c r="C72" s="21"/>
      <c r="D72"/>
    </row>
    <row r="73" spans="3:4" ht="30" customHeight="1" x14ac:dyDescent="0.3">
      <c r="C73" s="21"/>
      <c r="D73"/>
    </row>
    <row r="74" spans="3:4" ht="30" customHeight="1" x14ac:dyDescent="0.3">
      <c r="C74" s="21"/>
      <c r="D74"/>
    </row>
    <row r="75" spans="3:4" ht="30" customHeight="1" x14ac:dyDescent="0.3">
      <c r="C75" s="21"/>
      <c r="D75"/>
    </row>
    <row r="76" spans="3:4" ht="30" customHeight="1" x14ac:dyDescent="0.3">
      <c r="C76" s="21"/>
      <c r="D76"/>
    </row>
    <row r="77" spans="3:4" ht="30" customHeight="1" x14ac:dyDescent="0.3">
      <c r="C77" s="21"/>
      <c r="D77"/>
    </row>
    <row r="78" spans="3:4" ht="30" customHeight="1" x14ac:dyDescent="0.3">
      <c r="C78" s="21"/>
      <c r="D78"/>
    </row>
    <row r="79" spans="3:4" ht="30" customHeight="1" x14ac:dyDescent="0.3">
      <c r="C79" s="21"/>
      <c r="D79"/>
    </row>
    <row r="80" spans="3:4" ht="30" customHeight="1" x14ac:dyDescent="0.3">
      <c r="C80" s="21"/>
      <c r="D80"/>
    </row>
    <row r="81" spans="3:4" ht="30" customHeight="1" x14ac:dyDescent="0.3">
      <c r="C81" s="21"/>
      <c r="D81"/>
    </row>
    <row r="82" spans="3:4" ht="30" customHeight="1" x14ac:dyDescent="0.3">
      <c r="C82" s="21"/>
      <c r="D82"/>
    </row>
    <row r="83" spans="3:4" ht="30" customHeight="1" x14ac:dyDescent="0.3">
      <c r="C83" s="21"/>
      <c r="D83"/>
    </row>
    <row r="84" spans="3:4" ht="30" customHeight="1" x14ac:dyDescent="0.3">
      <c r="C84" s="21"/>
      <c r="D84"/>
    </row>
    <row r="85" spans="3:4" ht="30" customHeight="1" x14ac:dyDescent="0.3">
      <c r="C85" s="21"/>
      <c r="D85"/>
    </row>
    <row r="86" spans="3:4" ht="30" customHeight="1" x14ac:dyDescent="0.3">
      <c r="C86" s="21"/>
      <c r="D86"/>
    </row>
    <row r="87" spans="3:4" ht="30" customHeight="1" x14ac:dyDescent="0.3">
      <c r="C87" s="21"/>
      <c r="D87"/>
    </row>
    <row r="88" spans="3:4" ht="30" customHeight="1" x14ac:dyDescent="0.3">
      <c r="C88" s="21"/>
      <c r="D88"/>
    </row>
    <row r="89" spans="3:4" ht="30" customHeight="1" x14ac:dyDescent="0.3">
      <c r="C89" s="21"/>
      <c r="D89"/>
    </row>
    <row r="90" spans="3:4" ht="30" customHeight="1" x14ac:dyDescent="0.3">
      <c r="C90" s="21"/>
      <c r="D90"/>
    </row>
    <row r="91" spans="3:4" ht="30" customHeight="1" x14ac:dyDescent="0.3">
      <c r="C91" s="21"/>
      <c r="D91"/>
    </row>
    <row r="92" spans="3:4" ht="30" customHeight="1" x14ac:dyDescent="0.3">
      <c r="C92" s="21"/>
      <c r="D92"/>
    </row>
    <row r="93" spans="3:4" ht="30" customHeight="1" x14ac:dyDescent="0.3">
      <c r="C93" s="21"/>
      <c r="D93"/>
    </row>
    <row r="94" spans="3:4" ht="30" customHeight="1" x14ac:dyDescent="0.3">
      <c r="C94" s="21"/>
      <c r="D94"/>
    </row>
    <row r="95" spans="3:4" ht="30" customHeight="1" x14ac:dyDescent="0.3">
      <c r="C95" s="21"/>
      <c r="D95"/>
    </row>
    <row r="96" spans="3:4" ht="30" customHeight="1" x14ac:dyDescent="0.3">
      <c r="C96" s="21"/>
      <c r="D96"/>
    </row>
    <row r="97" spans="3:4" ht="30" customHeight="1" x14ac:dyDescent="0.3">
      <c r="C97" s="21"/>
      <c r="D97"/>
    </row>
    <row r="98" spans="3:4" ht="30" customHeight="1" x14ac:dyDescent="0.3">
      <c r="C98" s="21"/>
      <c r="D98"/>
    </row>
    <row r="99" spans="3:4" ht="30" customHeight="1" x14ac:dyDescent="0.3">
      <c r="C99" s="21"/>
      <c r="D99"/>
    </row>
    <row r="100" spans="3:4" ht="30" customHeight="1" x14ac:dyDescent="0.3">
      <c r="C100" s="21"/>
      <c r="D100"/>
    </row>
    <row r="101" spans="3:4" ht="30" customHeight="1" x14ac:dyDescent="0.3">
      <c r="C101" s="21"/>
      <c r="D101"/>
    </row>
    <row r="102" spans="3:4" ht="30" customHeight="1" x14ac:dyDescent="0.3">
      <c r="C102" s="21"/>
      <c r="D102"/>
    </row>
    <row r="103" spans="3:4" ht="30" customHeight="1" x14ac:dyDescent="0.3">
      <c r="C103" s="21"/>
      <c r="D103"/>
    </row>
    <row r="104" spans="3:4" ht="30" customHeight="1" x14ac:dyDescent="0.3">
      <c r="C104" s="21"/>
      <c r="D104"/>
    </row>
    <row r="105" spans="3:4" ht="30" customHeight="1" x14ac:dyDescent="0.3">
      <c r="C105" s="21"/>
      <c r="D105"/>
    </row>
    <row r="106" spans="3:4" ht="30" customHeight="1" x14ac:dyDescent="0.3">
      <c r="C106" s="21"/>
      <c r="D106"/>
    </row>
    <row r="107" spans="3:4" ht="30" customHeight="1" x14ac:dyDescent="0.3">
      <c r="C107" s="21"/>
      <c r="D107"/>
    </row>
    <row r="108" spans="3:4" ht="30" customHeight="1" x14ac:dyDescent="0.3">
      <c r="C108" s="21"/>
      <c r="D108"/>
    </row>
    <row r="109" spans="3:4" ht="30" customHeight="1" x14ac:dyDescent="0.3">
      <c r="C109" s="21"/>
      <c r="D109"/>
    </row>
    <row r="110" spans="3:4" ht="30" customHeight="1" x14ac:dyDescent="0.3">
      <c r="C110" s="21"/>
      <c r="D110"/>
    </row>
    <row r="111" spans="3:4" ht="30" customHeight="1" x14ac:dyDescent="0.3">
      <c r="C111" s="21"/>
      <c r="D111"/>
    </row>
    <row r="112" spans="3:4" ht="30" customHeight="1" x14ac:dyDescent="0.3">
      <c r="C112" s="21"/>
      <c r="D112"/>
    </row>
    <row r="113" spans="3:4" ht="30" customHeight="1" x14ac:dyDescent="0.3">
      <c r="C113" s="21"/>
      <c r="D113"/>
    </row>
    <row r="114" spans="3:4" ht="30" customHeight="1" x14ac:dyDescent="0.3">
      <c r="C114" s="21"/>
      <c r="D114"/>
    </row>
    <row r="115" spans="3:4" ht="30" customHeight="1" x14ac:dyDescent="0.3">
      <c r="C115" s="21"/>
      <c r="D115"/>
    </row>
    <row r="116" spans="3:4" ht="30" customHeight="1" x14ac:dyDescent="0.3">
      <c r="C116" s="21"/>
      <c r="D116"/>
    </row>
    <row r="117" spans="3:4" ht="30" customHeight="1" x14ac:dyDescent="0.3">
      <c r="C117" s="21"/>
      <c r="D117"/>
    </row>
    <row r="118" spans="3:4" ht="30" customHeight="1" x14ac:dyDescent="0.3">
      <c r="C118" s="21"/>
      <c r="D118"/>
    </row>
    <row r="119" spans="3:4" ht="30" customHeight="1" x14ac:dyDescent="0.3">
      <c r="C119" s="21"/>
      <c r="D119"/>
    </row>
    <row r="120" spans="3:4" ht="30" customHeight="1" x14ac:dyDescent="0.3">
      <c r="C120" s="21"/>
      <c r="D120"/>
    </row>
    <row r="121" spans="3:4" ht="30" customHeight="1" x14ac:dyDescent="0.3">
      <c r="C121" s="21"/>
      <c r="D121"/>
    </row>
    <row r="122" spans="3:4" ht="30" customHeight="1" x14ac:dyDescent="0.3">
      <c r="C122" s="21"/>
      <c r="D122"/>
    </row>
    <row r="123" spans="3:4" ht="30" customHeight="1" x14ac:dyDescent="0.3">
      <c r="C123" s="21"/>
      <c r="D123"/>
    </row>
    <row r="124" spans="3:4" ht="30" customHeight="1" x14ac:dyDescent="0.3">
      <c r="C124" s="21"/>
      <c r="D124"/>
    </row>
    <row r="125" spans="3:4" ht="30" customHeight="1" x14ac:dyDescent="0.3">
      <c r="C125" s="21"/>
      <c r="D125"/>
    </row>
    <row r="126" spans="3:4" ht="30" customHeight="1" x14ac:dyDescent="0.3">
      <c r="C126" s="21"/>
      <c r="D126"/>
    </row>
    <row r="127" spans="3:4" ht="30" customHeight="1" x14ac:dyDescent="0.3">
      <c r="C127" s="21"/>
      <c r="D127"/>
    </row>
    <row r="128" spans="3:4" ht="30" customHeight="1" x14ac:dyDescent="0.3">
      <c r="C128" s="21"/>
      <c r="D128"/>
    </row>
    <row r="129" spans="3:4" ht="30" customHeight="1" x14ac:dyDescent="0.3">
      <c r="C129" s="21"/>
      <c r="D129"/>
    </row>
    <row r="130" spans="3:4" ht="30" customHeight="1" x14ac:dyDescent="0.3">
      <c r="C130" s="21"/>
      <c r="D130"/>
    </row>
    <row r="131" spans="3:4" ht="30" customHeight="1" x14ac:dyDescent="0.3">
      <c r="C131" s="21"/>
      <c r="D131"/>
    </row>
    <row r="132" spans="3:4" ht="30" customHeight="1" x14ac:dyDescent="0.3">
      <c r="C132" s="21"/>
      <c r="D132"/>
    </row>
    <row r="133" spans="3:4" ht="30" customHeight="1" x14ac:dyDescent="0.3">
      <c r="C133" s="21"/>
      <c r="D133"/>
    </row>
    <row r="134" spans="3:4" ht="30" customHeight="1" x14ac:dyDescent="0.3">
      <c r="C134" s="21"/>
      <c r="D134"/>
    </row>
    <row r="135" spans="3:4" ht="30" customHeight="1" x14ac:dyDescent="0.3">
      <c r="C135" s="21"/>
      <c r="D135"/>
    </row>
    <row r="136" spans="3:4" ht="30" customHeight="1" x14ac:dyDescent="0.3">
      <c r="C136" s="21"/>
      <c r="D136"/>
    </row>
    <row r="137" spans="3:4" ht="30" customHeight="1" x14ac:dyDescent="0.3">
      <c r="C137" s="21"/>
      <c r="D137"/>
    </row>
    <row r="138" spans="3:4" ht="30" customHeight="1" x14ac:dyDescent="0.3">
      <c r="C138" s="21"/>
      <c r="D138"/>
    </row>
    <row r="139" spans="3:4" ht="30" customHeight="1" x14ac:dyDescent="0.3">
      <c r="C139" s="21"/>
      <c r="D139"/>
    </row>
    <row r="140" spans="3:4" ht="30" customHeight="1" x14ac:dyDescent="0.3">
      <c r="C140" s="21"/>
      <c r="D140"/>
    </row>
    <row r="141" spans="3:4" ht="30" customHeight="1" x14ac:dyDescent="0.3">
      <c r="C141" s="21"/>
      <c r="D141"/>
    </row>
    <row r="142" spans="3:4" ht="30" customHeight="1" x14ac:dyDescent="0.3">
      <c r="C142" s="21"/>
      <c r="D142"/>
    </row>
    <row r="143" spans="3:4" ht="30" customHeight="1" x14ac:dyDescent="0.3">
      <c r="C143" s="21"/>
      <c r="D143"/>
    </row>
    <row r="144" spans="3:4" ht="30" customHeight="1" x14ac:dyDescent="0.3">
      <c r="C144" s="21"/>
      <c r="D144"/>
    </row>
    <row r="145" spans="3:4" ht="30" customHeight="1" x14ac:dyDescent="0.3">
      <c r="C145" s="21"/>
      <c r="D145"/>
    </row>
    <row r="146" spans="3:4" ht="30" customHeight="1" x14ac:dyDescent="0.3">
      <c r="C146" s="21"/>
      <c r="D146"/>
    </row>
    <row r="147" spans="3:4" ht="30" customHeight="1" x14ac:dyDescent="0.3">
      <c r="C147" s="21"/>
      <c r="D147"/>
    </row>
    <row r="148" spans="3:4" ht="30" customHeight="1" x14ac:dyDescent="0.3">
      <c r="C148" s="21"/>
      <c r="D148"/>
    </row>
    <row r="149" spans="3:4" ht="30" customHeight="1" x14ac:dyDescent="0.3">
      <c r="C149" s="21"/>
      <c r="D149"/>
    </row>
    <row r="150" spans="3:4" ht="30" customHeight="1" x14ac:dyDescent="0.3">
      <c r="C150" s="21"/>
      <c r="D150"/>
    </row>
    <row r="151" spans="3:4" ht="30" customHeight="1" x14ac:dyDescent="0.3">
      <c r="C151" s="21"/>
      <c r="D151"/>
    </row>
    <row r="152" spans="3:4" ht="30" customHeight="1" x14ac:dyDescent="0.3">
      <c r="C152" s="21"/>
      <c r="D152"/>
    </row>
    <row r="153" spans="3:4" ht="30" customHeight="1" x14ac:dyDescent="0.3">
      <c r="C153" s="21"/>
      <c r="D153"/>
    </row>
    <row r="154" spans="3:4" ht="30" customHeight="1" x14ac:dyDescent="0.3">
      <c r="C154" s="21"/>
      <c r="D154"/>
    </row>
    <row r="155" spans="3:4" ht="30" customHeight="1" x14ac:dyDescent="0.3">
      <c r="C155" s="21"/>
      <c r="D155"/>
    </row>
    <row r="156" spans="3:4" ht="30" customHeight="1" x14ac:dyDescent="0.3">
      <c r="C156" s="21"/>
      <c r="D156"/>
    </row>
    <row r="157" spans="3:4" ht="30" customHeight="1" x14ac:dyDescent="0.3">
      <c r="C157" s="21"/>
      <c r="D157"/>
    </row>
    <row r="158" spans="3:4" ht="30" customHeight="1" x14ac:dyDescent="0.3">
      <c r="C158" s="21"/>
      <c r="D158"/>
    </row>
    <row r="159" spans="3:4" ht="30" customHeight="1" x14ac:dyDescent="0.3">
      <c r="C159" s="21"/>
      <c r="D159"/>
    </row>
    <row r="160" spans="3:4" ht="30" customHeight="1" x14ac:dyDescent="0.3">
      <c r="C160" s="21"/>
      <c r="D160"/>
    </row>
    <row r="161" spans="3:4" ht="30" customHeight="1" x14ac:dyDescent="0.3">
      <c r="C161" s="21"/>
      <c r="D161"/>
    </row>
    <row r="162" spans="3:4" ht="30" customHeight="1" x14ac:dyDescent="0.3">
      <c r="C162" s="21"/>
      <c r="D162"/>
    </row>
    <row r="163" spans="3:4" ht="30" customHeight="1" x14ac:dyDescent="0.3">
      <c r="C163" s="21"/>
      <c r="D163"/>
    </row>
    <row r="164" spans="3:4" ht="30" customHeight="1" x14ac:dyDescent="0.3">
      <c r="C164" s="21"/>
      <c r="D164"/>
    </row>
    <row r="165" spans="3:4" ht="30" customHeight="1" x14ac:dyDescent="0.3">
      <c r="C165" s="21"/>
      <c r="D165"/>
    </row>
    <row r="166" spans="3:4" ht="30" customHeight="1" x14ac:dyDescent="0.3">
      <c r="C166" s="21"/>
      <c r="D166"/>
    </row>
    <row r="167" spans="3:4" ht="30" customHeight="1" x14ac:dyDescent="0.3">
      <c r="C167" s="21"/>
      <c r="D167"/>
    </row>
    <row r="168" spans="3:4" ht="30" customHeight="1" x14ac:dyDescent="0.3">
      <c r="C168" s="21"/>
      <c r="D168"/>
    </row>
    <row r="169" spans="3:4" ht="30" customHeight="1" x14ac:dyDescent="0.3">
      <c r="C169" s="21"/>
      <c r="D169"/>
    </row>
    <row r="170" spans="3:4" ht="30" customHeight="1" x14ac:dyDescent="0.3">
      <c r="C170" s="21"/>
      <c r="D170"/>
    </row>
    <row r="171" spans="3:4" ht="30" customHeight="1" x14ac:dyDescent="0.3">
      <c r="C171" s="21"/>
      <c r="D171"/>
    </row>
    <row r="172" spans="3:4" ht="30" customHeight="1" x14ac:dyDescent="0.3">
      <c r="C172" s="21"/>
      <c r="D172"/>
    </row>
    <row r="173" spans="3:4" ht="30" customHeight="1" x14ac:dyDescent="0.3">
      <c r="C173" s="21"/>
      <c r="D173"/>
    </row>
    <row r="174" spans="3:4" ht="30" customHeight="1" x14ac:dyDescent="0.3">
      <c r="C174" s="21"/>
      <c r="D174"/>
    </row>
    <row r="175" spans="3:4" ht="30" customHeight="1" x14ac:dyDescent="0.3">
      <c r="C175" s="21"/>
      <c r="D175"/>
    </row>
    <row r="176" spans="3:4" ht="30" customHeight="1" x14ac:dyDescent="0.3">
      <c r="C176" s="21"/>
      <c r="D176"/>
    </row>
    <row r="177" spans="3:4" ht="30" customHeight="1" x14ac:dyDescent="0.3">
      <c r="C177" s="21"/>
      <c r="D177"/>
    </row>
    <row r="178" spans="3:4" ht="30" customHeight="1" x14ac:dyDescent="0.3">
      <c r="C178" s="21"/>
      <c r="D178"/>
    </row>
    <row r="179" spans="3:4" ht="30" customHeight="1" x14ac:dyDescent="0.3">
      <c r="C179" s="21"/>
      <c r="D179"/>
    </row>
    <row r="180" spans="3:4" ht="30" customHeight="1" x14ac:dyDescent="0.3">
      <c r="C180" s="21"/>
      <c r="D180"/>
    </row>
    <row r="181" spans="3:4" ht="30" customHeight="1" x14ac:dyDescent="0.3">
      <c r="C181" s="21"/>
      <c r="D181"/>
    </row>
    <row r="182" spans="3:4" ht="30" customHeight="1" x14ac:dyDescent="0.3">
      <c r="C182" s="21"/>
      <c r="D182"/>
    </row>
    <row r="183" spans="3:4" ht="30" customHeight="1" x14ac:dyDescent="0.3">
      <c r="C183" s="21"/>
      <c r="D183"/>
    </row>
    <row r="184" spans="3:4" ht="30" customHeight="1" x14ac:dyDescent="0.3">
      <c r="C184" s="21"/>
      <c r="D184"/>
    </row>
    <row r="185" spans="3:4" ht="30" customHeight="1" x14ac:dyDescent="0.3">
      <c r="C185" s="21"/>
      <c r="D185"/>
    </row>
    <row r="186" spans="3:4" ht="30" customHeight="1" x14ac:dyDescent="0.3">
      <c r="C186" s="21"/>
      <c r="D186"/>
    </row>
    <row r="187" spans="3:4" ht="30" customHeight="1" x14ac:dyDescent="0.3">
      <c r="C187" s="21"/>
      <c r="D187"/>
    </row>
    <row r="188" spans="3:4" ht="30" customHeight="1" x14ac:dyDescent="0.3">
      <c r="C188" s="21"/>
      <c r="D188"/>
    </row>
    <row r="189" spans="3:4" ht="30" customHeight="1" x14ac:dyDescent="0.3">
      <c r="C189" s="21"/>
      <c r="D189"/>
    </row>
    <row r="190" spans="3:4" ht="30" customHeight="1" x14ac:dyDescent="0.3">
      <c r="C190" s="21"/>
      <c r="D190"/>
    </row>
    <row r="191" spans="3:4" ht="30" customHeight="1" x14ac:dyDescent="0.3">
      <c r="C191" s="21"/>
      <c r="D191"/>
    </row>
    <row r="192" spans="3:4" ht="30" customHeight="1" x14ac:dyDescent="0.3">
      <c r="C192" s="21"/>
      <c r="D192"/>
    </row>
    <row r="193" spans="3:4" ht="30" customHeight="1" x14ac:dyDescent="0.3">
      <c r="C193" s="21"/>
      <c r="D193"/>
    </row>
    <row r="194" spans="3:4" ht="30" customHeight="1" x14ac:dyDescent="0.3">
      <c r="C194" s="21"/>
      <c r="D194"/>
    </row>
    <row r="195" spans="3:4" ht="30" customHeight="1" x14ac:dyDescent="0.3">
      <c r="C195" s="21"/>
      <c r="D195"/>
    </row>
    <row r="196" spans="3:4" ht="30" customHeight="1" x14ac:dyDescent="0.3">
      <c r="C196" s="21"/>
      <c r="D196"/>
    </row>
    <row r="197" spans="3:4" ht="30" customHeight="1" x14ac:dyDescent="0.3">
      <c r="C197" s="21"/>
      <c r="D197"/>
    </row>
    <row r="198" spans="3:4" ht="30" customHeight="1" x14ac:dyDescent="0.3">
      <c r="C198" s="21"/>
      <c r="D198"/>
    </row>
    <row r="199" spans="3:4" ht="30" customHeight="1" x14ac:dyDescent="0.3">
      <c r="C199" s="21"/>
      <c r="D199"/>
    </row>
    <row r="200" spans="3:4" ht="30" customHeight="1" x14ac:dyDescent="0.3">
      <c r="C200" s="21"/>
      <c r="D200"/>
    </row>
    <row r="201" spans="3:4" ht="30" customHeight="1" x14ac:dyDescent="0.3">
      <c r="C201" s="21"/>
      <c r="D201"/>
    </row>
    <row r="202" spans="3:4" ht="30" customHeight="1" x14ac:dyDescent="0.3">
      <c r="C202" s="21"/>
      <c r="D202"/>
    </row>
    <row r="203" spans="3:4" ht="30" customHeight="1" x14ac:dyDescent="0.3">
      <c r="C203" s="21"/>
      <c r="D203"/>
    </row>
    <row r="204" spans="3:4" ht="30" customHeight="1" x14ac:dyDescent="0.3">
      <c r="C204" s="21"/>
      <c r="D204"/>
    </row>
    <row r="205" spans="3:4" ht="30" customHeight="1" x14ac:dyDescent="0.3">
      <c r="C205" s="21"/>
      <c r="D205"/>
    </row>
    <row r="206" spans="3:4" ht="30" customHeight="1" x14ac:dyDescent="0.3">
      <c r="C206" s="21"/>
      <c r="D206"/>
    </row>
    <row r="207" spans="3:4" ht="30" customHeight="1" x14ac:dyDescent="0.3">
      <c r="C207" s="21"/>
      <c r="D207"/>
    </row>
    <row r="208" spans="3:4" ht="30" customHeight="1" x14ac:dyDescent="0.3">
      <c r="C208" s="21"/>
      <c r="D208"/>
    </row>
    <row r="209" spans="3:4" ht="30" customHeight="1" x14ac:dyDescent="0.3">
      <c r="C209" s="21"/>
      <c r="D209"/>
    </row>
    <row r="210" spans="3:4" ht="30" customHeight="1" x14ac:dyDescent="0.3">
      <c r="C210" s="21"/>
      <c r="D210"/>
    </row>
    <row r="211" spans="3:4" ht="30" customHeight="1" x14ac:dyDescent="0.3">
      <c r="C211" s="21"/>
      <c r="D211"/>
    </row>
    <row r="212" spans="3:4" ht="30" customHeight="1" x14ac:dyDescent="0.3">
      <c r="C212" s="21"/>
      <c r="D212"/>
    </row>
    <row r="213" spans="3:4" ht="30" customHeight="1" x14ac:dyDescent="0.3">
      <c r="C213" s="21"/>
      <c r="D213"/>
    </row>
    <row r="214" spans="3:4" ht="30" customHeight="1" x14ac:dyDescent="0.3">
      <c r="C214" s="21"/>
      <c r="D214"/>
    </row>
    <row r="215" spans="3:4" ht="30" customHeight="1" x14ac:dyDescent="0.3">
      <c r="C215" s="21"/>
      <c r="D215"/>
    </row>
    <row r="216" spans="3:4" ht="30" customHeight="1" x14ac:dyDescent="0.3">
      <c r="C216" s="21"/>
      <c r="D216"/>
    </row>
    <row r="217" spans="3:4" ht="30" customHeight="1" x14ac:dyDescent="0.3">
      <c r="C217" s="21"/>
      <c r="D217"/>
    </row>
    <row r="218" spans="3:4" ht="30" customHeight="1" x14ac:dyDescent="0.3">
      <c r="C218" s="21"/>
      <c r="D218"/>
    </row>
    <row r="219" spans="3:4" ht="30" customHeight="1" x14ac:dyDescent="0.3">
      <c r="C219" s="21"/>
      <c r="D219"/>
    </row>
    <row r="220" spans="3:4" ht="30" customHeight="1" x14ac:dyDescent="0.3">
      <c r="C220" s="21"/>
      <c r="D220"/>
    </row>
    <row r="221" spans="3:4" ht="30" customHeight="1" x14ac:dyDescent="0.3">
      <c r="C221" s="21"/>
      <c r="D221"/>
    </row>
    <row r="222" spans="3:4" ht="30" customHeight="1" x14ac:dyDescent="0.3">
      <c r="C222" s="21"/>
      <c r="D222"/>
    </row>
    <row r="223" spans="3:4" ht="30" customHeight="1" x14ac:dyDescent="0.3">
      <c r="C223" s="21"/>
      <c r="D223"/>
    </row>
    <row r="224" spans="3:4" ht="30" customHeight="1" x14ac:dyDescent="0.3">
      <c r="C224" s="21"/>
      <c r="D224"/>
    </row>
    <row r="225" spans="3:4" ht="30" customHeight="1" x14ac:dyDescent="0.3">
      <c r="C225" s="21"/>
      <c r="D225"/>
    </row>
    <row r="226" spans="3:4" ht="30" customHeight="1" x14ac:dyDescent="0.3">
      <c r="C226" s="21"/>
      <c r="D226"/>
    </row>
    <row r="227" spans="3:4" ht="30" customHeight="1" x14ac:dyDescent="0.3">
      <c r="C227" s="21"/>
      <c r="D227"/>
    </row>
    <row r="228" spans="3:4" ht="30" customHeight="1" x14ac:dyDescent="0.3">
      <c r="C228" s="21"/>
      <c r="D228"/>
    </row>
    <row r="229" spans="3:4" ht="30" customHeight="1" x14ac:dyDescent="0.3">
      <c r="C229" s="21"/>
      <c r="D229"/>
    </row>
    <row r="230" spans="3:4" ht="30" customHeight="1" x14ac:dyDescent="0.3">
      <c r="C230" s="21"/>
      <c r="D230"/>
    </row>
    <row r="231" spans="3:4" ht="30" customHeight="1" x14ac:dyDescent="0.3">
      <c r="C231" s="21"/>
      <c r="D231"/>
    </row>
    <row r="232" spans="3:4" ht="30" customHeight="1" x14ac:dyDescent="0.3">
      <c r="C232" s="21"/>
      <c r="D232"/>
    </row>
    <row r="233" spans="3:4" ht="30" customHeight="1" x14ac:dyDescent="0.3">
      <c r="C233" s="21"/>
      <c r="D233"/>
    </row>
    <row r="234" spans="3:4" ht="30" customHeight="1" x14ac:dyDescent="0.3">
      <c r="C234" s="21"/>
      <c r="D234"/>
    </row>
    <row r="235" spans="3:4" ht="30" customHeight="1" x14ac:dyDescent="0.3">
      <c r="C235" s="21"/>
      <c r="D235"/>
    </row>
    <row r="236" spans="3:4" ht="30" customHeight="1" x14ac:dyDescent="0.3">
      <c r="C236" s="21"/>
      <c r="D236"/>
    </row>
    <row r="237" spans="3:4" ht="30" customHeight="1" x14ac:dyDescent="0.3">
      <c r="C237" s="21"/>
      <c r="D237"/>
    </row>
    <row r="238" spans="3:4" ht="30" customHeight="1" x14ac:dyDescent="0.3">
      <c r="C238" s="21"/>
      <c r="D238"/>
    </row>
    <row r="239" spans="3:4" ht="30" customHeight="1" x14ac:dyDescent="0.3">
      <c r="C239" s="21"/>
      <c r="D239"/>
    </row>
    <row r="240" spans="3:4" ht="30" customHeight="1" x14ac:dyDescent="0.3">
      <c r="C240" s="21"/>
      <c r="D240"/>
    </row>
    <row r="241" spans="3:4" ht="30" customHeight="1" x14ac:dyDescent="0.3">
      <c r="C241" s="21"/>
      <c r="D241"/>
    </row>
    <row r="242" spans="3:4" ht="30" customHeight="1" x14ac:dyDescent="0.3">
      <c r="C242" s="21"/>
      <c r="D242"/>
    </row>
    <row r="243" spans="3:4" ht="30" customHeight="1" x14ac:dyDescent="0.3">
      <c r="C243" s="21"/>
      <c r="D243"/>
    </row>
    <row r="244" spans="3:4" ht="30" customHeight="1" x14ac:dyDescent="0.3">
      <c r="C244" s="21"/>
      <c r="D244"/>
    </row>
    <row r="245" spans="3:4" ht="30" customHeight="1" x14ac:dyDescent="0.3">
      <c r="C245" s="21"/>
      <c r="D245"/>
    </row>
    <row r="246" spans="3:4" ht="30" customHeight="1" x14ac:dyDescent="0.3">
      <c r="C246" s="21"/>
      <c r="D246"/>
    </row>
    <row r="247" spans="3:4" ht="30" customHeight="1" x14ac:dyDescent="0.3">
      <c r="C247" s="21"/>
      <c r="D247"/>
    </row>
    <row r="248" spans="3:4" ht="30" customHeight="1" x14ac:dyDescent="0.3">
      <c r="C248" s="21"/>
      <c r="D248"/>
    </row>
    <row r="249" spans="3:4" ht="30" customHeight="1" x14ac:dyDescent="0.3">
      <c r="C249" s="21"/>
      <c r="D249"/>
    </row>
    <row r="250" spans="3:4" ht="30" customHeight="1" x14ac:dyDescent="0.3">
      <c r="C250" s="21"/>
      <c r="D250"/>
    </row>
    <row r="251" spans="3:4" ht="30" customHeight="1" x14ac:dyDescent="0.3">
      <c r="C251" s="21"/>
      <c r="D251"/>
    </row>
    <row r="252" spans="3:4" ht="30" customHeight="1" x14ac:dyDescent="0.3">
      <c r="C252" s="21"/>
      <c r="D252"/>
    </row>
    <row r="253" spans="3:4" ht="30" customHeight="1" x14ac:dyDescent="0.3">
      <c r="C253" s="21"/>
      <c r="D253"/>
    </row>
    <row r="254" spans="3:4" ht="30" customHeight="1" x14ac:dyDescent="0.3">
      <c r="C254" s="21"/>
      <c r="D254"/>
    </row>
    <row r="255" spans="3:4" ht="30" customHeight="1" x14ac:dyDescent="0.3">
      <c r="C255" s="21"/>
      <c r="D255"/>
    </row>
    <row r="256" spans="3:4" ht="30" customHeight="1" x14ac:dyDescent="0.3">
      <c r="C256" s="21"/>
      <c r="D256"/>
    </row>
    <row r="257" spans="3:4" ht="30" customHeight="1" x14ac:dyDescent="0.3">
      <c r="C257" s="21"/>
      <c r="D257"/>
    </row>
    <row r="258" spans="3:4" ht="30" customHeight="1" x14ac:dyDescent="0.3">
      <c r="C258" s="21"/>
      <c r="D258"/>
    </row>
    <row r="259" spans="3:4" ht="30" customHeight="1" x14ac:dyDescent="0.3">
      <c r="C259" s="21"/>
      <c r="D259"/>
    </row>
    <row r="260" spans="3:4" ht="30" customHeight="1" x14ac:dyDescent="0.3">
      <c r="C260" s="21"/>
      <c r="D260"/>
    </row>
    <row r="261" spans="3:4" ht="30" customHeight="1" x14ac:dyDescent="0.3">
      <c r="C261" s="21"/>
      <c r="D261"/>
    </row>
    <row r="262" spans="3:4" ht="30" customHeight="1" x14ac:dyDescent="0.3">
      <c r="C262" s="21"/>
      <c r="D262"/>
    </row>
    <row r="263" spans="3:4" ht="30" customHeight="1" x14ac:dyDescent="0.3">
      <c r="C263" s="21"/>
      <c r="D263"/>
    </row>
    <row r="264" spans="3:4" ht="30" customHeight="1" x14ac:dyDescent="0.3">
      <c r="C264" s="21"/>
      <c r="D264"/>
    </row>
    <row r="265" spans="3:4" ht="30" customHeight="1" x14ac:dyDescent="0.3">
      <c r="C265" s="21"/>
      <c r="D265"/>
    </row>
    <row r="266" spans="3:4" ht="30" customHeight="1" x14ac:dyDescent="0.3">
      <c r="C266" s="21"/>
      <c r="D266"/>
    </row>
    <row r="267" spans="3:4" ht="30" customHeight="1" x14ac:dyDescent="0.3">
      <c r="C267" s="21"/>
      <c r="D267"/>
    </row>
    <row r="268" spans="3:4" ht="30" customHeight="1" x14ac:dyDescent="0.3">
      <c r="C268" s="21"/>
      <c r="D268"/>
    </row>
    <row r="269" spans="3:4" ht="30" customHeight="1" x14ac:dyDescent="0.3">
      <c r="C269" s="21"/>
      <c r="D269"/>
    </row>
    <row r="270" spans="3:4" ht="30" customHeight="1" x14ac:dyDescent="0.3">
      <c r="C270" s="21"/>
      <c r="D270"/>
    </row>
    <row r="271" spans="3:4" ht="30" customHeight="1" x14ac:dyDescent="0.3">
      <c r="C271" s="21"/>
      <c r="D271"/>
    </row>
    <row r="272" spans="3:4" ht="30" customHeight="1" x14ac:dyDescent="0.3">
      <c r="C272" s="21"/>
      <c r="D272"/>
    </row>
    <row r="273" spans="3:4" ht="30" customHeight="1" x14ac:dyDescent="0.3">
      <c r="C273" s="21"/>
      <c r="D273"/>
    </row>
    <row r="274" spans="3:4" ht="30" customHeight="1" x14ac:dyDescent="0.3">
      <c r="C274" s="21"/>
      <c r="D274"/>
    </row>
    <row r="275" spans="3:4" ht="30" customHeight="1" x14ac:dyDescent="0.3">
      <c r="C275" s="21"/>
      <c r="D275"/>
    </row>
    <row r="276" spans="3:4" ht="30" customHeight="1" x14ac:dyDescent="0.3">
      <c r="C276" s="21"/>
      <c r="D276"/>
    </row>
    <row r="277" spans="3:4" ht="30" customHeight="1" x14ac:dyDescent="0.3">
      <c r="C277" s="21"/>
      <c r="D277"/>
    </row>
    <row r="278" spans="3:4" ht="30" customHeight="1" x14ac:dyDescent="0.3">
      <c r="C278" s="21"/>
      <c r="D278"/>
    </row>
    <row r="279" spans="3:4" ht="30" customHeight="1" x14ac:dyDescent="0.3">
      <c r="C279" s="21"/>
      <c r="D279"/>
    </row>
    <row r="280" spans="3:4" ht="30" customHeight="1" x14ac:dyDescent="0.3">
      <c r="C280" s="21"/>
      <c r="D280"/>
    </row>
    <row r="281" spans="3:4" ht="30" customHeight="1" x14ac:dyDescent="0.3">
      <c r="C281" s="21"/>
      <c r="D281"/>
    </row>
    <row r="282" spans="3:4" ht="30" customHeight="1" x14ac:dyDescent="0.3">
      <c r="C282" s="21"/>
      <c r="D282"/>
    </row>
    <row r="283" spans="3:4" ht="30" customHeight="1" x14ac:dyDescent="0.3">
      <c r="C283" s="21"/>
      <c r="D283"/>
    </row>
    <row r="284" spans="3:4" ht="30" customHeight="1" x14ac:dyDescent="0.3">
      <c r="C284" s="21"/>
      <c r="D284"/>
    </row>
    <row r="285" spans="3:4" ht="30" customHeight="1" x14ac:dyDescent="0.3">
      <c r="C285" s="21"/>
      <c r="D285"/>
    </row>
    <row r="286" spans="3:4" ht="30" customHeight="1" x14ac:dyDescent="0.3">
      <c r="C286" s="21"/>
      <c r="D286"/>
    </row>
    <row r="287" spans="3:4" ht="30" customHeight="1" x14ac:dyDescent="0.3">
      <c r="C287" s="21"/>
      <c r="D287"/>
    </row>
    <row r="288" spans="3:4" ht="30" customHeight="1" x14ac:dyDescent="0.3">
      <c r="C288" s="21"/>
      <c r="D288"/>
    </row>
    <row r="289" spans="3:4" ht="30" customHeight="1" x14ac:dyDescent="0.3">
      <c r="C289" s="21"/>
      <c r="D289"/>
    </row>
    <row r="290" spans="3:4" ht="30" customHeight="1" x14ac:dyDescent="0.3">
      <c r="C290" s="21"/>
      <c r="D290"/>
    </row>
    <row r="291" spans="3:4" ht="30" customHeight="1" x14ac:dyDescent="0.3">
      <c r="C291" s="21"/>
      <c r="D291"/>
    </row>
    <row r="292" spans="3:4" ht="30" customHeight="1" x14ac:dyDescent="0.3">
      <c r="C292" s="21"/>
      <c r="D292"/>
    </row>
    <row r="293" spans="3:4" ht="30" customHeight="1" x14ac:dyDescent="0.3">
      <c r="C293" s="21"/>
      <c r="D293"/>
    </row>
    <row r="294" spans="3:4" ht="30" customHeight="1" x14ac:dyDescent="0.3">
      <c r="C294" s="21"/>
      <c r="D294"/>
    </row>
    <row r="295" spans="3:4" ht="30" customHeight="1" x14ac:dyDescent="0.3">
      <c r="C295" s="21"/>
      <c r="D295"/>
    </row>
    <row r="296" spans="3:4" ht="30" customHeight="1" x14ac:dyDescent="0.3">
      <c r="C296" s="21"/>
      <c r="D296"/>
    </row>
    <row r="297" spans="3:4" ht="30" customHeight="1" x14ac:dyDescent="0.3">
      <c r="C297" s="21"/>
      <c r="D297"/>
    </row>
    <row r="298" spans="3:4" ht="30" customHeight="1" x14ac:dyDescent="0.3">
      <c r="C298" s="21"/>
      <c r="D298"/>
    </row>
    <row r="299" spans="3:4" ht="30" customHeight="1" x14ac:dyDescent="0.3">
      <c r="C299" s="21"/>
      <c r="D299"/>
    </row>
    <row r="300" spans="3:4" ht="30" customHeight="1" x14ac:dyDescent="0.3">
      <c r="C300" s="21"/>
      <c r="D300"/>
    </row>
    <row r="301" spans="3:4" ht="30" customHeight="1" x14ac:dyDescent="0.3">
      <c r="C301" s="21"/>
      <c r="D301"/>
    </row>
    <row r="302" spans="3:4" ht="30" customHeight="1" x14ac:dyDescent="0.3">
      <c r="C302" s="21"/>
      <c r="D302"/>
    </row>
    <row r="303" spans="3:4" ht="30" customHeight="1" x14ac:dyDescent="0.3">
      <c r="C303" s="21"/>
      <c r="D303"/>
    </row>
    <row r="304" spans="3:4" ht="30" customHeight="1" x14ac:dyDescent="0.3">
      <c r="C304" s="21"/>
      <c r="D304"/>
    </row>
    <row r="305" spans="3:4" ht="30" customHeight="1" x14ac:dyDescent="0.3">
      <c r="C305" s="21"/>
      <c r="D305"/>
    </row>
    <row r="306" spans="3:4" ht="30" customHeight="1" x14ac:dyDescent="0.3">
      <c r="C306" s="21"/>
      <c r="D306"/>
    </row>
    <row r="307" spans="3:4" ht="30" customHeight="1" x14ac:dyDescent="0.3">
      <c r="C307" s="21"/>
      <c r="D307"/>
    </row>
    <row r="308" spans="3:4" ht="30" customHeight="1" x14ac:dyDescent="0.3">
      <c r="C308" s="21"/>
      <c r="D308"/>
    </row>
    <row r="309" spans="3:4" ht="30" customHeight="1" x14ac:dyDescent="0.3">
      <c r="C309" s="21"/>
      <c r="D309"/>
    </row>
    <row r="310" spans="3:4" ht="30" customHeight="1" x14ac:dyDescent="0.3">
      <c r="C310" s="21"/>
      <c r="D310"/>
    </row>
    <row r="311" spans="3:4" ht="30" customHeight="1" x14ac:dyDescent="0.3">
      <c r="C311" s="21"/>
      <c r="D311"/>
    </row>
    <row r="312" spans="3:4" ht="30" customHeight="1" x14ac:dyDescent="0.3">
      <c r="C312" s="21"/>
      <c r="D312"/>
    </row>
    <row r="313" spans="3:4" ht="30" customHeight="1" x14ac:dyDescent="0.3">
      <c r="C313" s="21"/>
      <c r="D313"/>
    </row>
    <row r="314" spans="3:4" ht="30" customHeight="1" x14ac:dyDescent="0.3">
      <c r="C314" s="21"/>
      <c r="D314"/>
    </row>
    <row r="315" spans="3:4" ht="30" customHeight="1" x14ac:dyDescent="0.3">
      <c r="C315" s="21"/>
      <c r="D315"/>
    </row>
    <row r="316" spans="3:4" ht="30" customHeight="1" x14ac:dyDescent="0.3">
      <c r="C316" s="21"/>
      <c r="D316"/>
    </row>
    <row r="317" spans="3:4" ht="30" customHeight="1" x14ac:dyDescent="0.3">
      <c r="C317" s="21"/>
      <c r="D317"/>
    </row>
    <row r="318" spans="3:4" ht="30" customHeight="1" x14ac:dyDescent="0.3">
      <c r="C318" s="21"/>
      <c r="D318"/>
    </row>
    <row r="319" spans="3:4" ht="30" customHeight="1" x14ac:dyDescent="0.3">
      <c r="C319" s="21"/>
      <c r="D319"/>
    </row>
    <row r="320" spans="3:4" ht="30" customHeight="1" x14ac:dyDescent="0.3">
      <c r="C320" s="21"/>
      <c r="D320"/>
    </row>
    <row r="321" spans="3:4" ht="30" customHeight="1" x14ac:dyDescent="0.3">
      <c r="C321" s="21"/>
      <c r="D321"/>
    </row>
    <row r="322" spans="3:4" ht="30" customHeight="1" x14ac:dyDescent="0.3">
      <c r="C322" s="21"/>
      <c r="D322"/>
    </row>
    <row r="323" spans="3:4" ht="30" customHeight="1" x14ac:dyDescent="0.3">
      <c r="C323" s="21"/>
      <c r="D323"/>
    </row>
    <row r="324" spans="3:4" ht="30" customHeight="1" x14ac:dyDescent="0.3">
      <c r="C324" s="21"/>
      <c r="D324"/>
    </row>
    <row r="325" spans="3:4" ht="30" customHeight="1" x14ac:dyDescent="0.3">
      <c r="C325" s="21"/>
      <c r="D325"/>
    </row>
    <row r="326" spans="3:4" ht="30" customHeight="1" x14ac:dyDescent="0.3">
      <c r="C326" s="21"/>
      <c r="D326"/>
    </row>
    <row r="327" spans="3:4" ht="30" customHeight="1" x14ac:dyDescent="0.3">
      <c r="C327" s="21"/>
      <c r="D327"/>
    </row>
    <row r="328" spans="3:4" ht="30" customHeight="1" x14ac:dyDescent="0.3">
      <c r="C328" s="21"/>
      <c r="D328"/>
    </row>
    <row r="329" spans="3:4" ht="30" customHeight="1" x14ac:dyDescent="0.3">
      <c r="C329" s="21"/>
      <c r="D329"/>
    </row>
    <row r="330" spans="3:4" ht="30" customHeight="1" x14ac:dyDescent="0.3">
      <c r="C330" s="21"/>
      <c r="D330"/>
    </row>
    <row r="331" spans="3:4" ht="30" customHeight="1" x14ac:dyDescent="0.3">
      <c r="C331" s="21"/>
      <c r="D331"/>
    </row>
    <row r="332" spans="3:4" ht="30" customHeight="1" x14ac:dyDescent="0.3">
      <c r="C332" s="21"/>
      <c r="D332"/>
    </row>
    <row r="333" spans="3:4" ht="30" customHeight="1" x14ac:dyDescent="0.3">
      <c r="C333" s="21"/>
      <c r="D333"/>
    </row>
    <row r="334" spans="3:4" ht="30" customHeight="1" x14ac:dyDescent="0.3">
      <c r="C334" s="21"/>
      <c r="D334"/>
    </row>
    <row r="335" spans="3:4" ht="30" customHeight="1" x14ac:dyDescent="0.3">
      <c r="C335" s="21"/>
      <c r="D335"/>
    </row>
    <row r="336" spans="3:4" ht="30" customHeight="1" x14ac:dyDescent="0.3">
      <c r="C336" s="21"/>
      <c r="D336"/>
    </row>
    <row r="337" spans="3:4" ht="30" customHeight="1" x14ac:dyDescent="0.3">
      <c r="C337" s="21"/>
      <c r="D337"/>
    </row>
    <row r="338" spans="3:4" ht="30" customHeight="1" x14ac:dyDescent="0.3">
      <c r="C338" s="21"/>
      <c r="D338"/>
    </row>
    <row r="339" spans="3:4" ht="30" customHeight="1" x14ac:dyDescent="0.3">
      <c r="C339" s="21"/>
      <c r="D339"/>
    </row>
    <row r="340" spans="3:4" ht="30" customHeight="1" x14ac:dyDescent="0.3">
      <c r="C340" s="21"/>
      <c r="D340"/>
    </row>
    <row r="341" spans="3:4" ht="30" customHeight="1" x14ac:dyDescent="0.3">
      <c r="C341" s="21"/>
      <c r="D341"/>
    </row>
    <row r="342" spans="3:4" ht="30" customHeight="1" x14ac:dyDescent="0.3">
      <c r="C342" s="21"/>
      <c r="D342"/>
    </row>
  </sheetData>
  <mergeCells count="1"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D7BCF9-0FD0-4403-86CB-2600B77E76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SUPRA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REINILDO</dc:creator>
  <cp:lastModifiedBy>Reinildo de Jesus Costa</cp:lastModifiedBy>
  <dcterms:created xsi:type="dcterms:W3CDTF">2015-06-05T18:17:20Z</dcterms:created>
  <dcterms:modified xsi:type="dcterms:W3CDTF">2026-05-31T18:20:29Z</dcterms:modified>
</cp:coreProperties>
</file>